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verview" sheetId="1" r:id="rId4"/>
    <sheet state="hidden" name="Fuel comparison" sheetId="2" r:id="rId5"/>
    <sheet state="hidden" name="CO2 Emission Calculation" sheetId="3" r:id="rId6"/>
    <sheet state="visible" name="Carbon-Allowed Capacity" sheetId="4" r:id="rId7"/>
    <sheet state="visible" name="Task 1_ESG Roadmap" sheetId="5" r:id="rId8"/>
    <sheet state="visible" name="Task 2_Conversion &amp; Forecast" sheetId="6" r:id="rId9"/>
    <sheet state="visible" name="Task 3_P&amp;L" sheetId="7" r:id="rId10"/>
    <sheet state="visible" name="Task 4_ESG vs Traditional" sheetId="8" r:id="rId11"/>
    <sheet state="visible" name="Task 5_Phasing Decision" sheetId="9" r:id="rId12"/>
    <sheet state="visible" name="ESG_CAPEX OPEX" sheetId="10" r:id="rId13"/>
    <sheet state="visible" name="COGS" sheetId="11" r:id="rId14"/>
    <sheet state="visible" name="EXW Price" sheetId="12" r:id="rId15"/>
    <sheet state="hidden" name="Carbon Reduction" sheetId="13" r:id="rId16"/>
    <sheet state="hidden" name="Logistics Cost 2027" sheetId="14" r:id="rId17"/>
    <sheet state="visible" name="Supply Chain Risks" sheetId="15" r:id="rId18"/>
    <sheet state="visible" name="Sales Forecast &amp; Case 2A KPI" sheetId="16" r:id="rId19"/>
    <sheet state="visible" name="Emission Target" sheetId="17" r:id="rId20"/>
  </sheets>
  <definedNames/>
  <calcPr/>
  <extLst>
    <ext uri="GoogleSheetsCustomDataVersion2">
      <go:sheetsCustomData xmlns:go="http://customooxmlschemas.google.com/" r:id="rId21" roundtripDataChecksum="7PAPlEv/H1qz1mcIL7q4eYy5tkpM2822y8t2mM2chDE="/>
    </ext>
  </extLst>
</workbook>
</file>

<file path=xl/sharedStrings.xml><?xml version="1.0" encoding="utf-8"?>
<sst xmlns="http://schemas.openxmlformats.org/spreadsheetml/2006/main" count="2675" uniqueCount="1728">
  <si>
    <t>Metric</t>
  </si>
  <si>
    <t>Coal</t>
  </si>
  <si>
    <t>Rice Husk Pellet</t>
  </si>
  <si>
    <t>Wood Pellet</t>
  </si>
  <si>
    <t>CO2 Emission Calculation - Fuel Comparison</t>
  </si>
  <si>
    <t>NCV kcal/kg</t>
  </si>
  <si>
    <t>6300-7000</t>
  </si>
  <si>
    <t>3800-4500</t>
  </si>
  <si>
    <t>4200-4800</t>
  </si>
  <si>
    <t>CO2 tCO2/t fuel</t>
  </si>
  <si>
    <t>2.4-2.7</t>
  </si>
  <si>
    <t>0.15-0.30</t>
  </si>
  <si>
    <t>0.10-0.25</t>
  </si>
  <si>
    <t>Ash %</t>
  </si>
  <si>
    <t>10-25</t>
  </si>
  <si>
    <t>8-15</t>
  </si>
  <si>
    <t>1-5</t>
  </si>
  <si>
    <t>Cost VNĐ/Tons</t>
  </si>
  <si>
    <t>2.5-3.0M</t>
  </si>
  <si>
    <t>1.8-3.0M</t>
  </si>
  <si>
    <t>3.5-5.0M</t>
  </si>
  <si>
    <t>Fuel</t>
  </si>
  <si>
    <t>NCV (GJ/t)</t>
  </si>
  <si>
    <t>EF (kgCO2/GJ)</t>
  </si>
  <si>
    <t>Formula</t>
  </si>
  <si>
    <t>CO2 (kg/t fuel)</t>
  </si>
  <si>
    <t>CO2 (t/t fuel)</t>
  </si>
  <si>
    <t>NCV × EF</t>
  </si>
  <si>
    <t>Fuel comparison</t>
  </si>
  <si>
    <t>Rice husk pellet</t>
  </si>
  <si>
    <t>Wood pellet</t>
  </si>
  <si>
    <t>6,300 - 7,000</t>
  </si>
  <si>
    <t>3,800 - 4,500</t>
  </si>
  <si>
    <t>4,200 - 4,800</t>
  </si>
  <si>
    <t>Cost VND/Tons</t>
  </si>
  <si>
    <t>Carbon reduction</t>
  </si>
  <si>
    <t>Scenario</t>
  </si>
  <si>
    <t>Emission Index</t>
  </si>
  <si>
    <t>100% Coal</t>
  </si>
  <si>
    <t>78% Biomass + 22% Coal</t>
  </si>
  <si>
    <t>Reduction %</t>
  </si>
  <si>
    <t>Index</t>
  </si>
  <si>
    <t>Meaning</t>
  </si>
  <si>
    <t>NCV (Net Calorific Value)</t>
  </si>
  <si>
    <t>Useful heat energy generated by 1 ton of fuel. Higher NCV means less fuel is needed to produce the same heat.</t>
  </si>
  <si>
    <t>EF (Emission Factor)</t>
  </si>
  <si>
    <t>Amount of CO2 emitted per GJ of energy generated. For biomass, the EF shown here is life-cycle CO2e, mainly from collection, pelletizing, and transport.</t>
  </si>
  <si>
    <t>CO2 kg/t fuel</t>
  </si>
  <si>
    <t>CO2 emitted when burning or using 1 ton of fuel, calculated as NCV × EF.</t>
  </si>
  <si>
    <t>CO2 t/t fuel</t>
  </si>
  <si>
    <t>CO2 kg/t fuel divided by 1,000.</t>
  </si>
  <si>
    <t>Simple example</t>
  </si>
  <si>
    <t>Note</t>
  </si>
  <si>
    <t>Fuel amount used (t/year)</t>
  </si>
  <si>
    <t>Biomass amount adjusted to generate similar heat as 1,000 t coal</t>
  </si>
  <si>
    <t>Total energy (GJ/year)</t>
  </si>
  <si>
    <t>Fuel amount × NCV</t>
  </si>
  <si>
    <t>Total CO2 (tCO2e/year)</t>
  </si>
  <si>
    <t>Fuel amount × CO2 t/t fuel</t>
  </si>
  <si>
    <t>CO2 reduction vs coal</t>
  </si>
  <si>
    <t>-</t>
  </si>
  <si>
    <t>Compared with coal baseline</t>
  </si>
  <si>
    <t>Key takeaway</t>
  </si>
  <si>
    <t>Coal has higher heat value, but also much higher emission factor.</t>
  </si>
  <si>
    <t>Rice husk pellet and wood pellet require more tons of fuel for the same heat output.</t>
  </si>
  <si>
    <t>However, their life-cycle CO2e is much lower, which is why coal-to-biomass conversion can significantly reduce Scope 1-related emissions.</t>
  </si>
  <si>
    <t>In the TEXIN/LSC case, partial replacement of coal with biomass led to an estimated ~64% CO2 reduction.</t>
  </si>
  <si>
    <t>Summary</t>
  </si>
  <si>
    <t>Topic</t>
  </si>
  <si>
    <t>Details</t>
  </si>
  <si>
    <t>Project</t>
  </si>
  <si>
    <t>LSC End of Coal Program - Apparel Sustainable Supply Chain</t>
  </si>
  <si>
    <t>Case</t>
  </si>
  <si>
    <t>TEXIN Factory Vietnam</t>
  </si>
  <si>
    <t>Key Outcome</t>
  </si>
  <si>
    <t>~64% CO2 reduction after replacing 78% coal with biomass</t>
  </si>
  <si>
    <t>Strategic Impact</t>
  </si>
  <si>
    <t>Supplier decarbonization and ESG compliance</t>
  </si>
  <si>
    <t>Case 2A Challenge</t>
  </si>
  <si>
    <t>5-year ESG CAPEX/OPEX phasing + P&amp;L constraints, supported by 2026 actual volume and 2027-2029 potential-order scenarios</t>
  </si>
  <si>
    <t>LSC Strategy</t>
  </si>
  <si>
    <t>Area</t>
  </si>
  <si>
    <t>Requirement</t>
  </si>
  <si>
    <t>Carbon</t>
  </si>
  <si>
    <t>Measure and reduce emissions</t>
  </si>
  <si>
    <t>Energy</t>
  </si>
  <si>
    <t>Renewable energy and coal elimination</t>
  </si>
  <si>
    <t>Suppliers</t>
  </si>
  <si>
    <t>Decarbonization roadmap</t>
  </si>
  <si>
    <t>TEXIN SOP</t>
  </si>
  <si>
    <t>Fuel Receiving</t>
  </si>
  <si>
    <t>Rice husk pellets/wood pellets</t>
  </si>
  <si>
    <t>QC</t>
  </si>
  <si>
    <t>Moisture and particle-size inspection</t>
  </si>
  <si>
    <t>Storage</t>
  </si>
  <si>
    <t>Covered warehouse and fire prevention</t>
  </si>
  <si>
    <t>Fuel Feeding</t>
  </si>
  <si>
    <t>Automatic feeding system</t>
  </si>
  <si>
    <t>Combustion</t>
  </si>
  <si>
    <t>Air/fuel ratio control</t>
  </si>
  <si>
    <t>Steam Generation</t>
  </si>
  <si>
    <t>Boiler operation</t>
  </si>
  <si>
    <t>Production</t>
  </si>
  <si>
    <t>Steam consumption in manufacturing</t>
  </si>
  <si>
    <t>Ash Handling</t>
  </si>
  <si>
    <t>Reuse or disposal</t>
  </si>
  <si>
    <t>CARBON-ALLOWED CAPACITY 2027–2031 · supporting calculation for Task 2</t>
  </si>
  <si>
    <t>Reverse calculation from the buyer caps: CO2e = heat intensity × volume × emission factor ≤ cap, so maximum volume = cap × 1,000 ÷ (heat intensity × EF). Both caps are tested: absolute tCO2e and kgCO2e/GJ intensity.</t>
  </si>
  <si>
    <t>DESIGN BIOMASS MIX</t>
  </si>
  <si>
    <t>CAPACITY 2027</t>
  </si>
  <si>
    <t>CAPACITY 2029</t>
  </si>
  <si>
    <t>CAPACITY 2031</t>
  </si>
  <si>
    <t>MIN. BIOMASS SHARE 2031</t>
  </si>
  <si>
    <t>COAL-ONLY VOLUME 2031</t>
  </si>
  <si>
    <t>PEAK HEAT AT CAPACITY</t>
  </si>
  <si>
    <t>Emission Target F11 (~78% biomass)</t>
  </si>
  <si>
    <t>Caps tighten faster than EF falls</t>
  </si>
  <si>
    <t>Below this, any volume fails</t>
  </si>
  <si>
    <t>Absolute cap on 100% coal</t>
  </si>
  <si>
    <t>× 2026 heat; no boiler rating in the case</t>
  </si>
  <si>
    <t>Inputs and method</t>
  </si>
  <si>
    <t>Parameter</t>
  </si>
  <si>
    <t>Value</t>
  </si>
  <si>
    <t>Unit</t>
  </si>
  <si>
    <t>Basis / source</t>
  </si>
  <si>
    <t>Reading the result</t>
  </si>
  <si>
    <t>2026 useful heat demand</t>
  </si>
  <si>
    <t>GJ/yr</t>
  </si>
  <si>
    <t>ESG_CAPEX OPEX B6 (sized for dyeing/finishing steam demand).</t>
  </si>
  <si>
    <t>1. The reverse calculation is valid only because heat is assumed to scale with volume. If heat were fixed at 300,000 GJ, CO2e would not depend on volume and no capacity could be derived from the caps.</t>
  </si>
  <si>
    <t>2026 actual sales volume</t>
  </si>
  <si>
    <t>pcs</t>
  </si>
  <si>
    <t>Sales Forecast C21; produces the 28,380 t baseline (Emission Target J6).</t>
  </si>
  <si>
    <t>Heat intensity (held at 2026 level)</t>
  </si>
  <si>
    <t>GJ/pc</t>
  </si>
  <si>
    <t>Team assumption: heat moves in proportion to output (steam per kg of fabric dyed and finished).</t>
  </si>
  <si>
    <t>2. Team decision: this envelope is adopted in Task 2 as the planning capacity. Sewing labour is variable and costed per piece through COGS, and the case gives no boiler rating, so the carbon budget is the only hard volume limit the case quantifies.</t>
  </si>
  <si>
    <t>Emission factor: coal</t>
  </si>
  <si>
    <t>kgCO2e/GJ</t>
  </si>
  <si>
    <t>CO2 Emission Calculation C4.</t>
  </si>
  <si>
    <t>Emission factor: rice husk pellet</t>
  </si>
  <si>
    <t>CO2 Emission Calculation C5 (life-cycle).</t>
  </si>
  <si>
    <t>3. Against risk-adjusted demand (Task 2) the envelope does not bind in 2027–2029 and binds in 2030–2031. Against the full potential orders it would already bind in 2029.</t>
  </si>
  <si>
    <t>Emission factor: wood pellet</t>
  </si>
  <si>
    <t>CO2 Emission Calculation C6 (life-cycle).</t>
  </si>
  <si>
    <t>Rice husk share of biomass heat</t>
  </si>
  <si>
    <t>% of heat</t>
  </si>
  <si>
    <t>ESG_CAPEX OPEX B10 (base-case blend).</t>
  </si>
  <si>
    <t>4. Capacity shrinks from 2028 to 2031 at a constant mix because the caps tighten faster than EF falls. Growth after 2029 needs a higher biomass share or heat-recovery savings (Emission Target F10).</t>
  </si>
  <si>
    <t>Wood pellet share of biomass heat</t>
  </si>
  <si>
    <t>ESG_CAPEX OPEX B11.</t>
  </si>
  <si>
    <t>Emission factor: biomass blend</t>
  </si>
  <si>
    <t>Heat-weighted blend of the two pellets.</t>
  </si>
  <si>
    <t>5. At the envelope CO2e equals the cap exactly. Task 1 therefore runs the boiler at the next 5% biomass step above the requirement, keeping CO2e at least 5% below the cap (R01, R02).</t>
  </si>
  <si>
    <t>Biomass firing starts (2027)</t>
  </si>
  <si>
    <t>date</t>
  </si>
  <si>
    <t>Linked to the Task 1 commissioning milestone (in service 1 Apr 2027).</t>
  </si>
  <si>
    <t>Share of 2027 with the biomass system in service</t>
  </si>
  <si>
    <t>% of year</t>
  </si>
  <si>
    <t>Days in service ÷ 365.</t>
  </si>
  <si>
    <t>6. Case consistency: with the case emission factors, 78% biomass gives a 70.5% reduction, not the ~64% quoted in Overview B5; a 64% cut on fixed heat needs about 70.8% biomass. This model uses the CO2 Emission Calculation factors throughout.</t>
  </si>
  <si>
    <t>Case target operating mix: biomass share</t>
  </si>
  <si>
    <t>Emission Target F11 ('~78% biomass/22% coal equivalent performance'); Overview B5.</t>
  </si>
  <si>
    <t>Buyer caps and the minimum biomass share they imply</t>
  </si>
  <si>
    <t>2026</t>
  </si>
  <si>
    <t>2027</t>
  </si>
  <si>
    <t>2028</t>
  </si>
  <si>
    <t>2029</t>
  </si>
  <si>
    <t>2030</t>
  </si>
  <si>
    <t>2031</t>
  </si>
  <si>
    <t>Buyer cap: maximum annual CO2e (t)</t>
  </si>
  <si>
    <t>Buyer cap: maximum CO2e intensity (kg/GJ)</t>
  </si>
  <si>
    <t>Share of year biomass system in service</t>
  </si>
  <si>
    <t>Minimum biomass share while in service (intensity cap)</t>
  </si>
  <si>
    <t>n/a</t>
  </si>
  <si>
    <t>Carbon-allowed capacity at the case design mix</t>
  </si>
  <si>
    <t>Operating biomass share while in service</t>
  </si>
  <si>
    <t>Annual average biomass share of heat</t>
  </si>
  <si>
    <t>Annual average emission factor (kg/GJ)</t>
  </si>
  <si>
    <t>Intensity cap met?</t>
  </si>
  <si>
    <t>Carbon-allowed capacity (pcs)</t>
  </si>
  <si>
    <t>Heat required at this volume (GJ)</t>
  </si>
  <si>
    <t>Heat required vs 2026 heat demand (×)</t>
  </si>
  <si>
    <t>CO2e at this volume (t), check</t>
  </si>
  <si>
    <t>Check: CO2e within the absolute and intensity caps</t>
  </si>
  <si>
    <t>Comparison with the case volumes</t>
  </si>
  <si>
    <t>ESG scenario: potential orders (pcs)</t>
  </si>
  <si>
    <t>Carbon-allowed capacity − potential orders (pcs)</t>
  </si>
  <si>
    <t>Does the CO2 cap bind?</t>
  </si>
  <si>
    <t>Min. operating biomass share to serve potential orders</t>
  </si>
  <si>
    <t>Traditional scenario volume (pcs)</t>
  </si>
  <si>
    <t>Volume allowed by the absolute cap on 100% coal (pcs)</t>
  </si>
  <si>
    <t>Sensitivity: carbon-allowed capacity (million pcs) by operating biomass share</t>
  </si>
  <si>
    <t>How to read the matrix</t>
  </si>
  <si>
    <t>'Fails cap' = the intensity cap is breached at any volume. When the share just meets the intensity minimum, capacity equals the 2026 volume (5.02M), because each absolute cap = intensity cap × 300,000 GJ. The intensity cap decides whether TEXIN may keep producing; the absolute cap decides how much it may grow. At 90–100% the numbers far exceed any plausible plant output: CO2 then stops being the binding constraint and labour, machines and boiler rating take over.</t>
  </si>
  <si>
    <t>Sources: Emission Target (A–C), CO2 Emission Calculation (EF), ESG_CAPEX OPEX (B6, B10:B11, J17), Sales Forecast &amp; Case 2A KPI (C21:I21), Task 1 (commissioning date).</t>
  </si>
  <si>
    <t>TASK 3 - FIVE-YEAR P&amp;L AND THE PROFITABILITY CONSTRAINTS</t>
  </si>
  <si>
    <t>Requirement 3: annual P&amp;L 2027–2031 of the ESG pathway (Task 1 roadmap, Task 2 sales) and proof that every year meets the case floors. Base COGS already carries coal-based thermal energy, so only the biomass cost above the coal-equivalent is added (no double counting).</t>
  </si>
  <si>
    <t>PROFITABILITY TEST</t>
  </si>
  <si>
    <t>LOWEST NET PROFIT MARGIN</t>
  </si>
  <si>
    <t>NET PROFIT 2027–2031</t>
  </si>
  <si>
    <t>ESG COST BURDEN</t>
  </si>
  <si>
    <t>FREE CASH FLOW 2027–2031</t>
  </si>
  <si>
    <t>PRICE CUT TO BREACH A FLOOR</t>
  </si>
  <si>
    <t>Floors: −10% (2027), −8% (2028), &gt; 0% (2029–2031)</t>
  </si>
  <si>
    <t>of revenue: ESG OPEX + depreciation</t>
  </si>
  <si>
    <t>Self-funded; no new debt</t>
  </si>
  <si>
    <t>vs a 1.5–2.5% ESG premium at stake</t>
  </si>
  <si>
    <t>Income statement 2026A–2031 and the case profitability test</t>
  </si>
  <si>
    <t>USD unless stated</t>
  </si>
  <si>
    <t>2026A</t>
  </si>
  <si>
    <t>Drivers</t>
  </si>
  <si>
    <t>TASK 2 - SALES CONVERSION 2027-2029 AND VOLUME FORECAST 2030-2031</t>
  </si>
  <si>
    <t>Requirement 2: a justified conversion rate turns LSC potential orders into realized sales, and 2030-2031 volumes are forecast independently. Realized sales = MIN(risk-adjusted demand after the ESG gate, carbon-allowed capacity).</t>
  </si>
  <si>
    <t>RISK-ADJUSTED CR 2027 · 2028 · 2029</t>
  </si>
  <si>
    <t>REALIZED SALES 2027</t>
  </si>
  <si>
    <t>REALIZED SALES 2029</t>
  </si>
  <si>
    <t>ORDER GROWTH 2030-2031</t>
  </si>
  <si>
    <t>REALIZED SALES 2031</t>
  </si>
  <si>
    <t>UNSERVED DEMAND 2030-2031</t>
  </si>
  <si>
    <t>PEAK BOILER LOAD</t>
  </si>
  <si>
    <t>CR = (1 + g ESG − |g Traditional|) ÷ (1 + g ESG)</t>
  </si>
  <si>
    <t>Realized sales volume (pcs)</t>
  </si>
  <si>
    <t>Market component only (shift-share)</t>
  </si>
  <si>
    <t>TASK 1 - ESG ROAD MAP</t>
  </si>
  <si>
    <t>Requirement 1: five-year roadmap with CAPEX tranches, commissioning milestones, cumulative ESG completion and straight-line depreciation (5 years from the commissioning year, no salvage). Inputs in blue on cream, links to other sheets in green, formulas in black.</t>
  </si>
  <si>
    <t>TOTAL CAPEX ENVELOPE</t>
  </si>
  <si>
    <t>TRANCHE 1 · 2027</t>
  </si>
  <si>
    <t>BIOMASS FIRING FROM</t>
  </si>
  <si>
    <t>ESG COMPLETION END-2027</t>
  </si>
  <si>
    <t>CO2e CUT BY 2031</t>
  </si>
  <si>
    <t>BUYER CAPS MET</t>
  </si>
  <si>
    <t>DEPRECIATION, FULL YEAR</t>
  </si>
  <si>
    <t>Weighted EXW price incl. ESG premium (USD/pc)</t>
  </si>
  <si>
    <t>Incl. 10% contingency; full scope kept</t>
  </si>
  <si>
    <t>Base manufacturing COGS per piece (USD/pc)</t>
  </si>
  <si>
    <t>Income statement</t>
  </si>
  <si>
    <t>Revenue</t>
  </si>
  <si>
    <t>Base manufacturing COGS</t>
  </si>
  <si>
    <t>Boiler tie-in in the LNY 2027 shutdown</t>
  </si>
  <si>
    <t>Gross profit before ESG costs</t>
  </si>
  <si>
    <t>Declined, not subcontracted</t>
  </si>
  <si>
    <t>× 2026 heat (2029); no boiler rating in the case</t>
  </si>
  <si>
    <t>Sales conversion funnel 2026-2031: orders → risk-adjusted demand → ESG gate → carbon capacity → realized sales (pcs)</t>
  </si>
  <si>
    <t>5-year straight line, no salvage</t>
  </si>
  <si>
    <t>Investment roadmap: CAPEX tranches, commissioning milestones and spend by year (USD)</t>
  </si>
  <si>
    <t>CAPEX item</t>
  </si>
  <si>
    <t>Priority</t>
  </si>
  <si>
    <t>2030F</t>
  </si>
  <si>
    <t>Base cost</t>
  </si>
  <si>
    <t>Incl. 10% contingency</t>
  </si>
  <si>
    <t>2031F</t>
  </si>
  <si>
    <t>Works start</t>
  </si>
  <si>
    <t>In service (milestone)</t>
  </si>
  <si>
    <t>Tranche</t>
  </si>
  <si>
    <t>Orders and commercial risk</t>
  </si>
  <si>
    <t>Why this timing</t>
  </si>
  <si>
    <t>Potential orders (2027-2029) / forecast orders (2030-2031)</t>
  </si>
  <si>
    <t>Conversion rate applied</t>
  </si>
  <si>
    <t>Risk-adjusted demand</t>
  </si>
  <si>
    <t>ESG gate</t>
  </si>
  <si>
    <t>TEXIN emission compliance (Task 1)</t>
  </si>
  <si>
    <t>Baseline</t>
  </si>
  <si>
    <t>Critical. Core of conversion; tie-in during LNY 2027 shutdown. Needed to fire biomass at scale from Q2 2027 and meet the 2027 absolute cap.</t>
  </si>
  <si>
    <t>Demand after the ESG gate</t>
  </si>
  <si>
    <t>Critical. Automatic feeding required before biomass firing; reduces manual handling (R05 dust/fire).</t>
  </si>
  <si>
    <t>Critical. 10–14 day covered buffer must be stocked before firing; protects moisture spec (R02) and rainy-season supply (R01).</t>
  </si>
  <si>
    <t>High. Silica-rich rice-husk ash needs dedicated handling from first firing (R04 fouling).</t>
  </si>
  <si>
    <t>Critical. Particulate control is a legal precondition for biomass combustion.</t>
  </si>
  <si>
    <t>High. Metering first: verified 2026–2027 baseline and auditable annual CO2e (Emission Target F7, B19).</t>
  </si>
  <si>
    <t>Medium. Efficiency upgrade; installed after the main system stabilises, during LNY 2028. Savings not counted (conservative).</t>
  </si>
  <si>
    <t>Critical. Must be live before biomass is stored on site (R05).</t>
  </si>
  <si>
    <t>High. Foundations, piping, MCC needed to integrate the retrofit.</t>
  </si>
  <si>
    <t>High. Performance test is the formal commissioning gate of Tranche 1.</t>
  </si>
  <si>
    <t>Capacity and realized sales</t>
  </si>
  <si>
    <t>Medium in case data, but needed before the first biomass purchase to avoid greenwashing claims (R06).</t>
  </si>
  <si>
    <t>CAPEX spend in year</t>
  </si>
  <si>
    <t>Spend is booked in the tranche (commissioning) year, as in the case template row 47.</t>
  </si>
  <si>
    <t>Cumulative CAPEX in service</t>
  </si>
  <si>
    <t>ESG completion = CAPEX value in service ÷ envelope (USD 940,500). A tranche counts only from its in-service date: a CAPEX commitment alone earns no credit (Emission Target F18).</t>
  </si>
  <si>
    <t>Cumulative ESG completion (% of the CAPEX envelope)</t>
  </si>
  <si>
    <t>Check: tranche total = CAPEX envelope</t>
  </si>
  <si>
    <t>Commissioning Gantt by quarter, Q4 2026 to Q2 2029 (bars follow the dates in the roadmap table)</t>
  </si>
  <si>
    <t>Year</t>
  </si>
  <si>
    <t>Carbon-allowed capacity</t>
  </si>
  <si>
    <t>TASK 4 - ESG PATHWAY VS TRADITIONAL AND THE REVENUE AT RISK FROM DELAY</t>
  </si>
  <si>
    <t>Works window → in service</t>
  </si>
  <si>
    <t>Start</t>
  </si>
  <si>
    <t>In service / end</t>
  </si>
  <si>
    <t>CAPEX item / milestone</t>
  </si>
  <si>
    <t>Q4 2026</t>
  </si>
  <si>
    <t>Q1 2027</t>
  </si>
  <si>
    <t>Q2 2027</t>
  </si>
  <si>
    <t>Q3 2027</t>
  </si>
  <si>
    <t>Q4 2027</t>
  </si>
  <si>
    <t>Q1 2028</t>
  </si>
  <si>
    <t>Q2 2028</t>
  </si>
  <si>
    <t>Q3 2028</t>
  </si>
  <si>
    <t>Q4 2028</t>
  </si>
  <si>
    <t>Q1 2029</t>
  </si>
  <si>
    <t>Q2 2029</t>
  </si>
  <si>
    <t>Tranche 1 (2027): biomass conversion core, 10 items</t>
  </si>
  <si>
    <t>Gross margin</t>
  </si>
  <si>
    <t>Requirement 4: compare the ESG pathway with the Traditional / No-ESG trajectory and quantify the revenue at risk if the investment is delayed. Each path is valued at its own price: the ESG/traceability premium applies only while the roadmap is active.</t>
  </si>
  <si>
    <t>REVENUE AT RISK WITHOUT ESG</t>
  </si>
  <si>
    <t>DELAY 1 YEAR</t>
  </si>
  <si>
    <t>DELAY 2 YEARS</t>
  </si>
  <si>
    <t>Incremental ESG OPEX (build-up below)</t>
  </si>
  <si>
    <t>EXTRA NET PROFIT ON THE ESG PATHWAY</t>
  </si>
  <si>
    <t>PAYBACK VS STAYING ON COAL</t>
  </si>
  <si>
    <t>TRADITIONAL ORDERS 2031</t>
  </si>
  <si>
    <t>Depreciation of ESG CAPEX (Task 1)</t>
  </si>
  <si>
    <t>Gross profit after ESG costs</t>
  </si>
  <si>
    <t>Selling &amp; commercial cost</t>
  </si>
  <si>
    <t>2027–2031 vs the ESG pathway</t>
  </si>
  <si>
    <t>General &amp; administrative cost</t>
  </si>
  <si>
    <t>After all ESG OPEX and depreciation, 2027–2031</t>
  </si>
  <si>
    <t>Cumulative incremental free cash flow ≥ 0</t>
  </si>
  <si>
    <t>vs 2026; coal plant breaches the caps every year</t>
  </si>
  <si>
    <t>Head-to-head: ESG pathway vs Traditional / No-ESG, 2026–2031</t>
  </si>
  <si>
    <t>Total SG&amp;A</t>
  </si>
  <si>
    <t>Total 2027–2031</t>
  </si>
  <si>
    <t>Sales volume (pcs)</t>
  </si>
  <si>
    <t>ESG: LSC orders (potential 2027–2029, forecast 2030–2031)</t>
  </si>
  <si>
    <t>ESG: realized sales</t>
  </si>
  <si>
    <t>Traditional: order change vs prior year</t>
  </si>
  <si>
    <t>EBIT</t>
  </si>
  <si>
    <t>Interest on ESG funding</t>
  </si>
  <si>
    <t>Profit before tax</t>
  </si>
  <si>
    <t>Corporate income tax (20%)</t>
  </si>
  <si>
    <t>Net profit</t>
  </si>
  <si>
    <t>Net profit margin (NPM)</t>
  </si>
  <si>
    <t>Case profitability constraint (Table 03)</t>
  </si>
  <si>
    <t>NPM floor</t>
  </si>
  <si>
    <t>Traditional: order volume</t>
  </si>
  <si>
    <t>Volume gap: ESG − Traditional</t>
  </si>
  <si>
    <t>ESG ÷ Traditional (×)</t>
  </si>
  <si>
    <t>Revenue (USD)</t>
  </si>
  <si>
    <t>ESG pathway revenue (Task 3)</t>
  </si>
  <si>
    <t>Traditional revenue (base EXW price, no premium)</t>
  </si>
  <si>
    <t>Test ('≥' no worse than; '&gt;' strictly positive, net profit &gt; 0)</t>
  </si>
  <si>
    <t>≥</t>
  </si>
  <si>
    <t>&gt;</t>
  </si>
  <si>
    <t>Constraint met?</t>
  </si>
  <si>
    <t>Revenue at risk without ESG</t>
  </si>
  <si>
    <t>of which lost volume</t>
  </si>
  <si>
    <t>Headroom above the floor (percentage points)</t>
  </si>
  <si>
    <t>of which lost ESG premium</t>
  </si>
  <si>
    <t>ESG cost burden: (ESG OPEX + depreciation) ÷ revenue</t>
  </si>
  <si>
    <t>EXW price cut that would bring NPM down to the floor</t>
  </si>
  <si>
    <t>Check: case template rows 50–55 equal this P&amp;L</t>
  </si>
  <si>
    <t>Incremental ESG OPEX build-up: biomass operation minus the coal-equivalent already inside COGS (VND unless stated)</t>
  </si>
  <si>
    <t>Revenue at risk as % of ESG revenue</t>
  </si>
  <si>
    <t>ESG revenue vs 2026 (×)</t>
  </si>
  <si>
    <t>Realized sales volume</t>
  </si>
  <si>
    <t>Effective sales conversion rate (realized ÷ orders)</t>
  </si>
  <si>
    <t>Binding constraint</t>
  </si>
  <si>
    <t>Actual</t>
  </si>
  <si>
    <t>Use of carbon-allowed capacity</t>
  </si>
  <si>
    <t>Leakage and load</t>
  </si>
  <si>
    <t>Orders not converted: commercial risk</t>
  </si>
  <si>
    <t>Orders not served: above carbon capacity</t>
  </si>
  <si>
    <t>Realized volume growth YoY</t>
  </si>
  <si>
    <t>Heat demand vs 2026 (×)</t>
  </si>
  <si>
    <t>Case commercial signals and the risk-adjusted conversion rate</t>
  </si>
  <si>
    <t>Why these conversion rates</t>
  </si>
  <si>
    <t>Case signals (Sales Forecast, Emission Target)</t>
  </si>
  <si>
    <t>Unit costs behind the build-up</t>
  </si>
  <si>
    <t>Heat and fuel (Task 1)</t>
  </si>
  <si>
    <t>Coal: VND per GJ of heat (price ÷ 25 GJ/t)</t>
  </si>
  <si>
    <t>Useful heat demand (GJ)</t>
  </si>
  <si>
    <t>Traditional revenue vs 2026 (×)</t>
  </si>
  <si>
    <t>Biomass blend: VND per GJ (70% rice husk, 30% wood)</t>
  </si>
  <si>
    <t>Profit and cash (USD)</t>
  </si>
  <si>
    <t>ESG pathway net profit (Task 3)</t>
  </si>
  <si>
    <t>Biomass tonnes per GJ of heat (0.7 ÷ 16 + 0.3 ÷ 18)</t>
  </si>
  <si>
    <t>ESG pathway NPM</t>
  </si>
  <si>
    <t>Fuel-handling labour per FTE, VND/yr (B39 ÷ 3)</t>
  </si>
  <si>
    <t>Traditional gross profit</t>
  </si>
  <si>
    <t>Coal burned (t)</t>
  </si>
  <si>
    <t>Traditional SG&amp;A (same rule as Task 3)</t>
  </si>
  <si>
    <t>Tonnes handled by 3 FTE per year (E35 + E36)</t>
  </si>
  <si>
    <t>Rice husk pellet burned (t)</t>
  </si>
  <si>
    <t>Wood pellet burned (t)</t>
  </si>
  <si>
    <t>Reconciliation with the case OPEX table</t>
  </si>
  <si>
    <t>Coal-equivalent for the same heat (t), cost already in COGS</t>
  </si>
  <si>
    <t>Tranche 2 (2028): efficiency upgrade, 1 item</t>
  </si>
  <si>
    <t>LSC potential orders, ESG scenario (pcs)</t>
  </si>
  <si>
    <t>Same build-up at the case basis (300,000 GJ, 100% biomass, full CAPEX, 3 FTE), VND</t>
  </si>
  <si>
    <t>ESG scenario growth (g ESG)</t>
  </si>
  <si>
    <t>Traditional scenario change (g Traditional)</t>
  </si>
  <si>
    <t>Variable cost</t>
  </si>
  <si>
    <t>Equals ESG_CAPEX OPEX F45?</t>
  </si>
  <si>
    <t>Shutdowns, risk window and buyer gates</t>
  </si>
  <si>
    <t>Fuel cost at the actual mix</t>
  </si>
  <si>
    <t>LNY 2027 shutdown: boiler tie-in</t>
  </si>
  <si>
    <t>Traditional / No-ESG order volume (pcs)</t>
  </si>
  <si>
    <t>ESG_CAPEX OPEX F45 = 14,833,318,750 VND. The same delta logic (biomass minus coal for the same heat) is applied year by year with the Task 1 fuel mix.</t>
  </si>
  <si>
    <t>Fuel cost at the coal-equivalent (inside base COGS)</t>
  </si>
  <si>
    <t>Buyer challenge level</t>
  </si>
  <si>
    <t>Commercial consequence if the year's target is missed</t>
  </si>
  <si>
    <t>Risk-adjusted conversion rate</t>
  </si>
  <si>
    <t>Growth factor (1 + g ESG)</t>
  </si>
  <si>
    <t>Commercial-risk haircut |g Traditional|</t>
  </si>
  <si>
    <t>Adjusted growth factor (1 + g ESG − |g Traditional|)</t>
  </si>
  <si>
    <t>Traditional EBIT</t>
  </si>
  <si>
    <t>Incremental fuel cost</t>
  </si>
  <si>
    <t>Traditional CIT</t>
  </si>
  <si>
    <t>Traditional net profit</t>
  </si>
  <si>
    <t>Inbound biomass logistics</t>
  </si>
  <si>
    <t>Risk-adjusted conversion rate (CR)</t>
  </si>
  <si>
    <t>Share of potential orders at risk (1 − CR)</t>
  </si>
  <si>
    <t>Incremental ash disposal</t>
  </si>
  <si>
    <t>Independent volume forecast 2030-2031: shift-share decomposition of the two case scenarios</t>
  </si>
  <si>
    <t>Variable incremental OPEX</t>
  </si>
  <si>
    <t>Method (Dunn, 1960)</t>
  </si>
  <si>
    <t>Fixed cost</t>
  </si>
  <si>
    <t>Fuel-handling crew (FTE)</t>
  </si>
  <si>
    <t>Fuel-handling labour</t>
  </si>
  <si>
    <t>Market component = (g ESG + g Traditional) ÷ 2</t>
  </si>
  <si>
    <t>Boiler maintenance above the coal baseline</t>
  </si>
  <si>
    <t>Each case scenario = market growth ± reallocation between suppliers. The mean of the ESG and Traditional rates isolates market growth (6.0%, 6.5%, 6.5%; average applied to 2030-2031).</t>
  </si>
  <si>
    <t>Competitive shift = (g ESG − g Traditional) ÷ 2</t>
  </si>
  <si>
    <t>Order growth applied 2030-2031</t>
  </si>
  <si>
    <t>Forecast order volume (pcs)</t>
  </si>
  <si>
    <t>After the 2029 strategic checkpoint (Emission Target G9, B19) the reallocation toward compliant suppliers is complete, so the competitive shift is set to 0. This avoids extending the 22-28% growth mechanically (Sales Forecast B34).</t>
  </si>
  <si>
    <t>Assumptions and how conflicts with the case constraints are resolved</t>
  </si>
  <si>
    <t>Performance test passed: biomass firing starts</t>
  </si>
  <si>
    <t>Issue</t>
  </si>
  <si>
    <t>Assumption adopted</t>
  </si>
  <si>
    <t>Basis</t>
  </si>
  <si>
    <t>Heat demand vs volume</t>
  </si>
  <si>
    <t>Heat demand scales with output; heat per piece held at the 2026 level (0.0598 GJ/pc).</t>
  </si>
  <si>
    <t>ESG_CAPEX OPEX D6: heat sized for dyeing/finishing steam, which is used per kg of fabric. Team decision.</t>
  </si>
  <si>
    <t>Conversion of potential orders</t>
  </si>
  <si>
    <t>CR = (1 + g ESG − |g Traditional|) ÷ (1 + g ESG): the Traditional erosion rate is the share of each year's potential orders at risk until that year's milestone is verified.</t>
  </si>
  <si>
    <t>Traditional NPM</t>
  </si>
  <si>
    <t>Net profit gained on the ESG pathway</t>
  </si>
  <si>
    <t>Sales Forecast B33 (orders are not guaranteed), D10-D12 (erosion rates); Emission Target B18-B19 (annual verification).</t>
  </si>
  <si>
    <t>CR falls while ESG completion rises</t>
  </si>
  <si>
    <t>Risk is tied to the difficulty of the current-year milestone, which rises each year.</t>
  </si>
  <si>
    <t>Emission Target I7:I9 (Moderate, Challenging, High); Sales Forecast D12 ('accelerated order loss').</t>
  </si>
  <si>
    <t>No customer data for 2030-2031</t>
  </si>
  <si>
    <t>Orders grow with the market component (shift-share mean of the two scenarios, 6.33%); no further reallocation gain; CR held at 2029.</t>
  </si>
  <si>
    <t>Sales Forecast B34 (no mechanical extension); Emission Target G9, B19 (2029 checkpoint), I10:I11 (High/Stretch).</t>
  </si>
  <si>
    <t>Production capacity</t>
  </si>
  <si>
    <t>Carbon-allowed capacity at the design mix is the binding volume limit; sewing labour is variable and costed per piece through COGS.</t>
  </si>
  <si>
    <t>Emission Target F11 (~78% biomass); case template row 46 (COGS = volume × COGS/pc); no line or boiler rating is given in the case.</t>
  </si>
  <si>
    <t>Zero headroom at the carbon limit</t>
  </si>
  <si>
    <t>Capacity is planned at the 78% design mix; Task 1 operates the boiler at the next 5% step above the requirement (80% when capacity binds), keeping CO2e ≥5% below the cap.</t>
  </si>
  <si>
    <t>R01 (coal fallback), R02 (moisture); ESG_CAPEX OPEX A2 (full biomass-capable system), Emission Target F11 ('~78%').</t>
  </si>
  <si>
    <t>Demand above carbon capacity (2030-2031)</t>
  </si>
  <si>
    <t>Declined, not subcontracted, so emissions are not moved outside the reporting boundary.</t>
  </si>
  <si>
    <t>Emission Target B17 (scope boundary); R07 (reporting credibility). Growth levers assessed in Task 5.</t>
  </si>
  <si>
    <t>Boiler heat load</t>
  </si>
  <si>
    <t>The retrofitted system is assumed able to supply up to 1.72x the 2026 heat (2029 peak).</t>
  </si>
  <si>
    <t>No boiler rating in the case (ESG_CAPEX OPEX J17: retrofit). Flagged with R08 (steam pressure) for Task 5.</t>
  </si>
  <si>
    <t>Emission monitoring/lab tests</t>
  </si>
  <si>
    <t>Traditional net working capital</t>
  </si>
  <si>
    <t>Traditional free cash flow</t>
  </si>
  <si>
    <t>ESG pathway free cash flow (Task 3)</t>
  </si>
  <si>
    <t>5. The delay loss sits in the ramp years: by 2031 every converting path reaches the same carbon-allowed capacity (Task 2), so a delay destroys the 2027–2030 allocation that LSC decides at its annual reviews and the 2029 strategic checkpoint (Emission Target G9, B19).</t>
  </si>
  <si>
    <t>Incremental free cash flow of the ESG pathway</t>
  </si>
  <si>
    <t>Cumulative incremental free cash flow</t>
  </si>
  <si>
    <t>Insurance/safety inspection</t>
  </si>
  <si>
    <t>Stress window: 8-week commissioning slip (R14)</t>
  </si>
  <si>
    <t>Payback year (cumulative incremental FCF turns positive)</t>
  </si>
  <si>
    <t>Buyer compliance</t>
  </si>
  <si>
    <t>Traditional: heat demand (GJ)</t>
  </si>
  <si>
    <t>Sources</t>
  </si>
  <si>
    <t>Case workbook: Sales Forecast &amp; Case 2A KPI (A-C, B33-B34), Emission Target (A-B), ESG_CAPEX OPEX (A2, B6, D6, J17), COGS, Supply Chain Risks (R01, R02, R07, R08, R14), sheet 'Carbon-Allowed Capacity'.</t>
  </si>
  <si>
    <t>Team working file 'Sales Conversion Rate Forecast (2027-2029)': risk-adjusted conversion rate formula.</t>
  </si>
  <si>
    <t>Dunn, E. S. (1960). A statistical and analytical technique for regional analysis. Papers of the Regional Science Association, 6(1), 97-112 (shift-share analysis).</t>
  </si>
  <si>
    <t>LSC verification of 2027 CO2e</t>
  </si>
  <si>
    <t>Training/ESG audit</t>
  </si>
  <si>
    <t>Traditional: CO2e on 100% coal (t)</t>
  </si>
  <si>
    <t>Fixed incremental OPEX</t>
  </si>
  <si>
    <t>Total</t>
  </si>
  <si>
    <t>Total incremental ESG OPEX (VND)</t>
  </si>
  <si>
    <t>Total incremental ESG OPEX (USD) → template row 50</t>
  </si>
  <si>
    <t>Incremental ESG OPEX per piece (USD/pc)</t>
  </si>
  <si>
    <t>Cash flow and funding of the roadmap (USD)</t>
  </si>
  <si>
    <t>Funding view</t>
  </si>
  <si>
    <t>Add back: ESG depreciation (non-cash)</t>
  </si>
  <si>
    <t>Less: ESG CAPEX paid (Task 1)</t>
  </si>
  <si>
    <t>Net working capital</t>
  </si>
  <si>
    <t>Less: increase in net working capital</t>
  </si>
  <si>
    <t>Free cash flow</t>
  </si>
  <si>
    <t>LNY 2028 shutdown: condensate recovery tie-in</t>
  </si>
  <si>
    <t>LSC verification of 2028 CO2e</t>
  </si>
  <si>
    <t>Traditional: buyer compliance</t>
  </si>
  <si>
    <t>ESG pathway: buyer compliance (Task 1)</t>
  </si>
  <si>
    <t>Legend</t>
  </si>
  <si>
    <t>Works window (contracting, delivery, installation, tie-in)</t>
  </si>
  <si>
    <t>Commissioning quarter (label = in-service date)</t>
  </si>
  <si>
    <t>In service (continues to 2031)</t>
  </si>
  <si>
    <t>Shutdown, risk window or buyer gate (label = months)</t>
  </si>
  <si>
    <t>Revenue at risk from delaying the investment (the whole roadmap shifted right by one or two years)</t>
  </si>
  <si>
    <t>Operating fuel mix and CO2e compliance against both buyer caps (absolute tCO2e and kgCO2e/GJ)</t>
  </si>
  <si>
    <t>Delay mechanism</t>
  </si>
  <si>
    <t>Volume and heat</t>
  </si>
  <si>
    <t>Revenue by path (USD)</t>
  </si>
  <si>
    <t>Before conversion TEXIN stays on coal, misses the caps and its orders follow the Traditional erosion from the prior year. From the conversion year the ESG ramp restarts from that lower base (orders +22%, +25%, +28%, then the market rate, each discounted by the Task 2 conversion rate), capped by the carbon-allowed capacity at the 78% design mix. Each path is valued at its own price: the ESG premium applies only once the roadmap is active.</t>
  </si>
  <si>
    <t>No delay: conversion 2027 (= ESG pathway)</t>
  </si>
  <si>
    <t>Delay 1 year: conversion 2028</t>
  </si>
  <si>
    <t>Heat index vs 2026 (hand-off to Task 3)</t>
  </si>
  <si>
    <t>Cumulative free cash flow from 2027</t>
  </si>
  <si>
    <t>Cash cover: (net profit + depreciation) ÷ CAPEX</t>
  </si>
  <si>
    <t>Inputs and their basis</t>
  </si>
  <si>
    <t>FX rate</t>
  </si>
  <si>
    <t>VND/USD</t>
  </si>
  <si>
    <t>Case rate embedded in ESG_CAPEX OPEX E40 (CAPEX × 2.5% × 25,500) and Logistics Cost 2027 F8 ('~25,500 VND/USD'). Held flat; ±5% tested in Task 5 (R13).</t>
  </si>
  <si>
    <t>Coal price</t>
  </si>
  <si>
    <t>VND/t</t>
  </si>
  <si>
    <t>ESG_CAPEX OPEX D37 (coal t × 2,750,000), the midpoint of the 2.5–3.0M VND/t range in Fuel comparison B5.</t>
  </si>
  <si>
    <t>Rice husk pellet price</t>
  </si>
  <si>
    <t>Delay 2 years: conversion 2029</t>
  </si>
  <si>
    <t>No ESG (Traditional)</t>
  </si>
  <si>
    <t>Revenue at risk vs no delay (USD)</t>
  </si>
  <si>
    <t>Delay 1 year</t>
  </si>
  <si>
    <t>ESG_CAPEX OPEX B12.</t>
  </si>
  <si>
    <t>Wood pellet price</t>
  </si>
  <si>
    <t>Delay 2 years</t>
  </si>
  <si>
    <t>ESG_CAPEX OPEX B13.</t>
  </si>
  <si>
    <t>No ESG</t>
  </si>
  <si>
    <t>VND/t biomass</t>
  </si>
  <si>
    <t>ESG_CAPEX OPEX B38.</t>
  </si>
  <si>
    <t>Ash disposal</t>
  </si>
  <si>
    <t>VND/t fuel</t>
  </si>
  <si>
    <t>ESG_CAPEX OPEX B42.</t>
  </si>
  <si>
    <t>Gross profit at risk before ESG costs (USD)</t>
  </si>
  <si>
    <t>Fuel-handling crew in the case basis</t>
  </si>
  <si>
    <t>FTE</t>
  </si>
  <si>
    <t>ESG_CAPEX OPEX H39 ('3 FTE equivalent'); crew grows in whole FTE with run-rate tonnage.</t>
  </si>
  <si>
    <t>Biomass boiler maintenance &amp; refractory</t>
  </si>
  <si>
    <t>% of CAPEX/yr</t>
  </si>
  <si>
    <t>ESG_CAPEX OPEX B40, applied to the CAPEX in service (Task 1).</t>
  </si>
  <si>
    <t>Coal boiler maintenance replaced by it</t>
  </si>
  <si>
    <t>VND/yr</t>
  </si>
  <si>
    <t>ESG_CAPEX OPEX D40: today inside base COGS, so only the excess is incremental.</t>
  </si>
  <si>
    <t>Incremental emission monitoring/lab tests</t>
  </si>
  <si>
    <t>E41 − D41; full year from 2027 (metering in service 1 Jan 2027, Task 1).</t>
  </si>
  <si>
    <t>Incremental insurance/safety inspection</t>
  </si>
  <si>
    <t>E43 − D43; pro rata from the biomass in-service date.</t>
  </si>
  <si>
    <t>Incremental training/ESG audit</t>
  </si>
  <si>
    <t>E44 − D44; full year from 2027 (traceability set-up Feb 2027; annual buyer audit).</t>
  </si>
  <si>
    <t>Buyer caps (Emission Target)</t>
  </si>
  <si>
    <t>% of revenue</t>
  </si>
  <si>
    <t>Peer benchmark: May Sông Hồng (MSH) selling expenses 2.7–3.1% of net revenue, H1-2023 to H1-2024 (FireAnt, 28/06/2024). Set slightly lower because under EXW the buyer pays the main freight (EXW Price D18).</t>
  </si>
  <si>
    <t>Maximum annual CO2e (t)</t>
  </si>
  <si>
    <t>General &amp; administrative cost (2026 base)</t>
  </si>
  <si>
    <t>% of 2026 revenue</t>
  </si>
  <si>
    <t>MSH G&amp;A 4.8–5.6% of revenue (same source); TNG total SG&amp;A 5.4% of revenue in Q4-2025 (BSC, 21/01/2026). Selling + G&amp;A = 7.0%, inside the 5.4–8.5% peer range.</t>
  </si>
  <si>
    <t>Maximum CO2e intensity (kg/GJ)</t>
  </si>
  <si>
    <t>Fixed share of G&amp;A</t>
  </si>
  <si>
    <t>% of G&amp;A</t>
  </si>
  <si>
    <t>Team assumption: management and compliance overhead does not move with volume in the short run; half is fixed, half scales with revenue.</t>
  </si>
  <si>
    <t>Corporate income tax rate</t>
  </si>
  <si>
    <t>% of profit</t>
  </si>
  <si>
    <t>Law on CIT No. 67/2025/QH15, Art. 10(1), in force from 1 Oct 2025. No ESG tax incentive assumed (conservative).</t>
  </si>
  <si>
    <t>Operating mix decision</t>
  </si>
  <si>
    <t>USD/yr</t>
  </si>
  <si>
    <t>Internal cash: 2026 gross profit USD 3.96M (EXW Price B14) is 4.2x the USD 0.94M envelope ('Can it fund ESG investment?', EXW Price E14).</t>
  </si>
  <si>
    <t>Receivable days</t>
  </si>
  <si>
    <t>days of revenue</t>
  </si>
  <si>
    <t>Team assumption: apparel buyers commonly pay by T/T 30–60 days after pickup; midpoint used.</t>
  </si>
  <si>
    <t>Inventory days</t>
  </si>
  <si>
    <t>Same, under an 8-week slip (R14)</t>
  </si>
  <si>
    <t>Minimum annual biomass share (cap with 5% buffer)</t>
  </si>
  <si>
    <t>Operating biomass share while in service (decision)</t>
  </si>
  <si>
    <t>ESG ramp by roadmap year (from Task 2)</t>
  </si>
  <si>
    <t>Year 1</t>
  </si>
  <si>
    <t>Year 2</t>
  </si>
  <si>
    <t>Year 3</t>
  </si>
  <si>
    <t>Year 4+</t>
  </si>
  <si>
    <t>Conversion year</t>
  </si>
  <si>
    <t>Delay (years)</t>
  </si>
  <si>
    <t>Order growth (g ESG; market rate from year 4)</t>
  </si>
  <si>
    <t>No delay</t>
  </si>
  <si>
    <t>days of COGS</t>
  </si>
  <si>
    <t>Team assumption: about 1.5 months of fabric, WIP and finished goods for a 5-SKU programme.</t>
  </si>
  <si>
    <t>Payable days</t>
  </si>
  <si>
    <t>Team assumption: 30-day supplier credit on fabric, trims and fuel (biomass priced quarterly, R03).</t>
  </si>
  <si>
    <t>Assumptions and how conflicts or missing data are resolved</t>
  </si>
  <si>
    <t>Fuel burned</t>
  </si>
  <si>
    <t>Biomass heat (GJ)</t>
  </si>
  <si>
    <t>Basis / why it is reasonable</t>
  </si>
  <si>
    <t>Energy cost already in COGS</t>
  </si>
  <si>
    <t>COGS F13 'ESG energy allocation' is read as today’s thermal-energy cost per piece (coal basis). The project adds only its cost above the coal-equivalent fuel for the same heat.</t>
  </si>
  <si>
    <t>Coal heat (GJ)</t>
  </si>
  <si>
    <t>COGS B22 ('energy allocation is embedded in product COGS'); Table 03 OPEX rule; ESG_CAPEX OPEX F37:F45 uses the same delta logic and is reconciled above.</t>
  </si>
  <si>
    <t>Delay engine: one block per scenario, years down the rows</t>
  </si>
  <si>
    <t>Fixed vs variable ESG OPEX</t>
  </si>
  <si>
    <t>Roadmap year (0 = coal)</t>
  </si>
  <si>
    <t>Status</t>
  </si>
  <si>
    <t>LSC orders (pcs)</t>
  </si>
  <si>
    <t>Risk-adjusted demand (pcs)</t>
  </si>
  <si>
    <t>Share of year on biomass</t>
  </si>
  <si>
    <t>Fuel, inbound logistics and ash follow biomass heat from Task 1. Monitoring and audit run a full year from 2027; crew, maintenance and insurance start at the 1 Apr 2027 in-service date.</t>
  </si>
  <si>
    <t>Realized sales (pcs)</t>
  </si>
  <si>
    <t>EXW price (USD/pc)</t>
  </si>
  <si>
    <t>Gross profit before ESG costs (USD)</t>
  </si>
  <si>
    <t>No delay: conversion in 2027 (ESG pathway, Option A)</t>
  </si>
  <si>
    <t>Coal (actual)</t>
  </si>
  <si>
    <t>ESG_CAPEX OPEX G34:G44 (formula logic); Task 1 (metering and traceability in service before firing).</t>
  </si>
  <si>
    <t>Existing plant depreciation</t>
  </si>
  <si>
    <t>Factory depreciation stays inside COGS/pc (COGS J13); ESG assets are depreciated separately under the 5-year rule. In the cash flow, existing depreciation is assumed reinvested as sustaining CAPEX.</t>
  </si>
  <si>
    <t>Table 03 depreciation rule; template rows 45–46 and 49.</t>
  </si>
  <si>
    <t>Price and cost escalation</t>
  </si>
  <si>
    <t>EXW prices and unit costs held flat in USD (real terms): EXW is built from COGS, so cost changes pass through at annual re-pricing. Fuel-price and FX shocks are tested in Task 5.</t>
  </si>
  <si>
    <t>EXW Price A2 ('EXW pricing is linked to the COGS sheet'); risks R03 and R13.</t>
  </si>
  <si>
    <t>SG&amp;A not given in the case</t>
  </si>
  <si>
    <t>Selling 2.5% of revenue (variable); G&amp;A 4.5% of 2026 revenue, half fixed and half scaling with revenue (7.0% of revenue in 2026).</t>
  </si>
  <si>
    <t>MSH H1-2024 selling 2.9%, G&amp;A 5.6% (FireAnt, 28/06/2024); TNG SG&amp;A 5.4% in Q4-2025 (BSC, 21/01/2026). EXW: buyer pays main freight.</t>
  </si>
  <si>
    <t>Interest and tax</t>
  </si>
  <si>
    <t>CIT 20% on positive profit; no new debt because internal cash covers the CAPEX. Existing financing costs are not given and sit outside this project P&amp;L.</t>
  </si>
  <si>
    <t>Law on CIT No. 67/2025/QH15, Art. 10(1); EXW Price B14, E14.</t>
  </si>
  <si>
    <t>Working capital</t>
  </si>
  <si>
    <t>Receivables 45 days of revenue, inventory 45 days and payables 30 days of COGS. Growth absorbs cash; decline releases it.</t>
  </si>
  <si>
    <t>Team assumption from common apparel export practice. Not given in the case.</t>
  </si>
  <si>
    <t>ESG premium</t>
  </si>
  <si>
    <t>The 1.5–2.5% ESG/traceability premium in the template price is kept from 2027, when TEXIN formally accepts the roadmap; it is removed in the Traditional case (Task 4).</t>
  </si>
  <si>
    <t>EXW Price F6:F10; Sales Forecast D7.</t>
  </si>
  <si>
    <t>Case workbook: ESG_CAPEX OPEX (A–C), COGS, EXW Price, Sales Forecast &amp; Case 2A KPI (B29:B35, rows 40–56), Supply Chain Risks (R03, R13); Task 1 (fuel mix, CAPEX, depreciation); Task 2 (realized sales).</t>
  </si>
  <si>
    <t>Emissions and compliance</t>
  </si>
  <si>
    <t>Annual CO2e, thermal energy (t)</t>
  </si>
  <si>
    <t>CO2e intensity (kg/GJ)</t>
  </si>
  <si>
    <t>Headroom below the absolute cap</t>
  </si>
  <si>
    <t>Emission index (2026 = 100)</t>
  </si>
  <si>
    <t>Reduction vs 2026 baseline</t>
  </si>
  <si>
    <t>FireAnt (28/06/2024). CTCP May Sông Hồng (MSH): business results H1-2024. https://static.fireant.vn/Upload/AttachedFiles/MSH.pdf</t>
  </si>
  <si>
    <t>BSC Research (21/01/2026). X-Stock | TNG: Secured orderbook. https://www.bsc.com.vn/en/bao-cao/15523-x-stock-tng-vnd25500-21-secured-orderbook</t>
  </si>
  <si>
    <t>National Assembly of Vietnam (2025). Law on Corporate Income Tax No. 67/2025/QH15, Article 10(1). https://luatvietnam.vn/thue-phi-le-phi/thue-suat-thue-tndn-moi-nhat-theo-luat-so-67-2025-qh15-565-104201-article.html</t>
  </si>
  <si>
    <t>TASK 5 - RECOMMENDED INVESTMENT PHASING</t>
  </si>
  <si>
    <t>Requirement 5: the phasing that best balances Growth, Profitability, Cash Flow, ESG Compliance and Execution Risk. Four front-loaded options run through one engine with the rules of Tasks 1-4: two ways to run the plant in 2030-2031 (A, A+) and two ways to replace part or all of the A+ biomass step-up with carbon credits (A+C, A+H). They are ranked on five criteria and nine sub-criteria with objective CRITIC weights and TOPSIS (cross-checked by VIKOR and SAW), and the leader is stress-tested against the risk register.</t>
  </si>
  <si>
    <t>RECOMMENDED PHASING</t>
  </si>
  <si>
    <t>TOP-SCORED OPTION</t>
  </si>
  <si>
    <t>LOWEST NPM, ALL SHOCKS · A+H</t>
  </si>
  <si>
    <t>Front-load 2027</t>
  </si>
  <si>
    <t>Compliance (absolute and intensity)</t>
  </si>
  <si>
    <t>Stress: CO2e with the 8-week slip (t)</t>
  </si>
  <si>
    <t>S1-S6 combined; every floor still met</t>
  </si>
  <si>
    <t>Stress: compliance with the slip</t>
  </si>
  <si>
    <t>How it is calculated</t>
  </si>
  <si>
    <t>Heat = realized sales × heat intensity (heat scales with volume). Caps are read from Emission Target D6:E11.</t>
  </si>
  <si>
    <t>Minimum share = (EF coal − 95% × tighter cap) ÷ (EF coal − EF biomass); the operating share is the lowest 5% step above it ÷ share of year in service. 2027 must also pass the 8-week slip test (R14).</t>
  </si>
  <si>
    <t>Coal t = coal heat ÷ 25 GJ/t; rice husk t = biomass heat × 70% ÷ 16 GJ/t; wood pellet t = biomass heat × 30% ÷ 18 GJ/t.</t>
  </si>
  <si>
    <t>CO2e = (coal heat × 94.6 + biomass heat × 9.1) ÷ 1,000. Compliant only when both the absolute and the intensity cap hold.</t>
  </si>
  <si>
    <t>Straight-line depreciation by tranche and ESG completion (USD)</t>
  </si>
  <si>
    <t>Tranche (commissioning year)</t>
  </si>
  <si>
    <t>Cost</t>
  </si>
  <si>
    <t>Beyond 2031</t>
  </si>
  <si>
    <t>T1 (2027)</t>
  </si>
  <si>
    <t>2027-2031; no new debt</t>
  </si>
  <si>
    <t>Why the CAPEX envelope cannot be spread evenly: the minimum viable biomass bundle</t>
  </si>
  <si>
    <t>T2 (2028)</t>
  </si>
  <si>
    <t>Item group (Task 1 roadmap)</t>
  </si>
  <si>
    <t>Cost incl. contingency (USD)</t>
  </si>
  <si>
    <t>% of envelope</t>
  </si>
  <si>
    <t>Needed before first firing?</t>
  </si>
  <si>
    <t>Test: spread the envelope evenly (20% a year)?</t>
  </si>
  <si>
    <t>Firing core: boiler retrofit, feeding, storage, ash handling, filters, fire safety, civil/electrical, engineering</t>
  </si>
  <si>
    <t>Yes</t>
  </si>
  <si>
    <t>Critical/High items; each is a precondition of safe, legal biomass combustion and none fires biomass on its own.</t>
  </si>
  <si>
    <t>Share of the envelope available in 2027</t>
  </si>
  <si>
    <t>%</t>
  </si>
  <si>
    <t>Verification: stack &amp; energy metering, ESG traceability set-up</t>
  </si>
  <si>
    <t>Only measured, verified reductions count (Emission Target B15:B19, F18); traceability avoids greenwashing claims (R06).</t>
  </si>
  <si>
    <t>T3 (2029)</t>
  </si>
  <si>
    <t>2027 budget minus the firing core</t>
  </si>
  <si>
    <t>T4 (2030)</t>
  </si>
  <si>
    <t>Delay 1 year: conversion in 2028</t>
  </si>
  <si>
    <t>ESG FUEL CONVERSION: CAPEX &amp; OPEX MODEL</t>
  </si>
  <si>
    <t>T5 (2031)</t>
  </si>
  <si>
    <t>USD</t>
  </si>
  <si>
    <t>Efficiency: water treatment &amp; condensate recovery</t>
  </si>
  <si>
    <t>No</t>
  </si>
  <si>
    <t>The only item that can move without delaying conversion (Task 1 tranche T2, 2028).</t>
  </si>
  <si>
    <t>2027 CO2e if the plant stays on coal at the Task 2 volume</t>
  </si>
  <si>
    <t>tCO2e</t>
  </si>
  <si>
    <t>Total = TOTAL PROJECT CAPEX</t>
  </si>
  <si>
    <t>Scope unchanged (Table 03 CAPEX envelope).</t>
  </si>
  <si>
    <t>2027 buyer cap</t>
  </si>
  <si>
    <t>Options compared: all four front-load the CAPEX (Tranche 1 in 2027) and differ only in how 2030-2031 is run</t>
  </si>
  <si>
    <t>Option</t>
  </si>
  <si>
    <t>T1 in service (year)</t>
  </si>
  <si>
    <t>T2 in service (year)</t>
  </si>
  <si>
    <t>Operating biomass mix</t>
  </si>
  <si>
    <t>Sales volume rule</t>
  </si>
  <si>
    <t>Status / source</t>
  </si>
  <si>
    <t>Case purpose: design a full biomass-capable thermal-energy system for TEXIN. All monetary values are case-study assumptions unless a source is explicitly cited.</t>
  </si>
  <si>
    <t>A. Front-loaded, design mix (Tasks 1-3)</t>
  </si>
  <si>
    <t>Task 1 mix: lowest 5% step keeping CO2e ≥5% below both caps (45%, 60%, 80%, 80%, 80%).</t>
  </si>
  <si>
    <t>A. Core operating assumptions</t>
  </si>
  <si>
    <t>Task 2: carbon-allowed capacity at the 78% design mix binds in 2030-2031.</t>
  </si>
  <si>
    <t>Base case of Tasks 1-3.</t>
  </si>
  <si>
    <t>A+. Front-loaded, biomass step-up 2030-2031</t>
  </si>
  <si>
    <t>Assumption</t>
  </si>
  <si>
    <t>As A to 2029; from 2030 the lowest 5% step keeping CO2e ≥5% below both caps at the held volume.</t>
  </si>
  <si>
    <t>MIN(Task 2 demand after the ESG gate, boiler limit = 2029 peak heat): holds the 2029 output.</t>
  </si>
  <si>
    <t>Growth lever flagged in Task 2 and Carbon-Allowed Capacity.</t>
  </si>
  <si>
    <t>A+C. Front-loaded, credits instead of step-up</t>
  </si>
  <si>
    <t>As A in every year (80% from 2029); the gap between its CO2e and the A+ path is covered by carbon credits.</t>
  </si>
  <si>
    <t>Same as A+: holds the 2029 output.</t>
  </si>
  <si>
    <t>Team option 1: credits replace 100% of the A+ step-up (inputs below).</t>
  </si>
  <si>
    <t>A+H. Front-loaded, half step-up, half credits</t>
  </si>
  <si>
    <t>A + 50% × (A+ − A) from 2030: 82.5% (2030), 85% (2031); credits cover the other half of the A+ reduction.</t>
  </si>
  <si>
    <t>Case note/source</t>
  </si>
  <si>
    <t>Annual useful heat demand</t>
  </si>
  <si>
    <t>GJ/year</t>
  </si>
  <si>
    <t>Case assumption, sized for textile dyeing/finishing steam demand</t>
  </si>
  <si>
    <t>Coal NCV</t>
  </si>
  <si>
    <t>GJ/t</t>
  </si>
  <si>
    <t>From existing workbook: CO2 Emission Calculation</t>
  </si>
  <si>
    <t>Rice husk pellet NCV</t>
  </si>
  <si>
    <t>Wood pellet NCV</t>
  </si>
  <si>
    <t>Rice husk energy share</t>
  </si>
  <si>
    <t>Base-case biomass blend</t>
  </si>
  <si>
    <t>Wood pellet energy share</t>
  </si>
  <si>
    <t>Rice husk price</t>
  </si>
  <si>
    <t>Case assumption within existing workbook range</t>
  </si>
  <si>
    <t>B. CAPEX - biomass conversion project</t>
  </si>
  <si>
    <t>Qty</t>
  </si>
  <si>
    <t>Unit Cost (USD)</t>
  </si>
  <si>
    <t>Total Cost (USD)</t>
  </si>
  <si>
    <t>Life (yr)</t>
  </si>
  <si>
    <t>Annual Deprec. (USD)</t>
  </si>
  <si>
    <t>Purpose</t>
  </si>
  <si>
    <t>Biomass boiler/furnace retrofit package</t>
  </si>
  <si>
    <t>lot</t>
  </si>
  <si>
    <t>Critical</t>
  </si>
  <si>
    <t>Enable stable biomass combustion</t>
  </si>
  <si>
    <t>Retrofit, not greenfield boiler</t>
  </si>
  <si>
    <t>Fuel receiving, conveyor &amp; automatic feeding</t>
  </si>
  <si>
    <t>Control feed rate/reduce manual handling</t>
  </si>
  <si>
    <t>Includes screw/belt conveyor</t>
  </si>
  <si>
    <t>Covered biomass warehouse &amp; day silo</t>
  </si>
  <si>
    <t>Moisture control/buffer stock</t>
  </si>
  <si>
    <t>~10-14 days operating buffer</t>
  </si>
  <si>
    <t>Ash extraction &amp; handling system</t>
  </si>
  <si>
    <t>High</t>
  </si>
  <si>
    <t>Handle higher biomass ash volume</t>
  </si>
  <si>
    <t>Rice husk ash requires dedicated handling</t>
  </si>
  <si>
    <t>Multi-cyclone + bag filter upgrade</t>
  </si>
  <si>
    <t>Particulate emission control</t>
  </si>
  <si>
    <t>ESG/local environmental compliance</t>
  </si>
  <si>
    <t>Stack emission &amp; energy metering system</t>
  </si>
  <si>
    <t>ESG monitoring/data verification</t>
  </si>
  <si>
    <t>Steam, fuel, O2, PM, temperature meters</t>
  </si>
  <si>
    <t>Water treatment &amp; condensate recovery upgrade</t>
  </si>
  <si>
    <t>Medium</t>
  </si>
  <si>
    <t>Improve boiler efficiency</t>
  </si>
  <si>
    <t>Reduces make-up water and heat losses</t>
  </si>
  <si>
    <t>Fire detection, dust control &amp; safety system</t>
  </si>
  <si>
    <t>Biomass dust/fire risk control</t>
  </si>
  <si>
    <t>Sprinkler, thermal sensors, housekeeping</t>
  </si>
  <si>
    <t>Civil, electrical &amp; piping modification</t>
  </si>
  <si>
    <t>Integrate new system</t>
  </si>
  <si>
    <t>Foundations, piping, cable, MCC</t>
  </si>
  <si>
    <t>Engineering, commissioning &amp; performance test</t>
  </si>
  <si>
    <t>Start-up and acceptance</t>
  </si>
  <si>
    <t>Includes operator training</t>
  </si>
  <si>
    <t>Total depreciation expense</t>
  </si>
  <si>
    <t>ESG certification/traceability setup</t>
  </si>
  <si>
    <t>Fuel chain-of-custody/audit readiness</t>
  </si>
  <si>
    <t>Case assumption</t>
  </si>
  <si>
    <t>CAPEX subtotal</t>
  </si>
  <si>
    <t>Cumulative ESG completion (% of CAPEX in service)</t>
  </si>
  <si>
    <t>Contingency</t>
  </si>
  <si>
    <t>Decarbonisation progress (reduction ÷ 64% target)</t>
  </si>
  <si>
    <t>TOTAL PROJECT CAPEX</t>
  </si>
  <si>
    <t>Rule (Table 03): each tranche ÷ 5 years, full year from its commissioning year, no salvage. Tranche 2 keeps one year of depreciation beyond 2031. The second line shows how far the operating mix has moved toward the 2031 target state (Emission Target C11).</t>
  </si>
  <si>
    <t>C. Annual OPEX - biomass operation vs. coal baseline</t>
  </si>
  <si>
    <t>Model inputs and their basis</t>
  </si>
  <si>
    <t>OPEX item</t>
  </si>
  <si>
    <t>Driver</t>
  </si>
  <si>
    <t>Coal Baseline</t>
  </si>
  <si>
    <t>Biomass Case</t>
  </si>
  <si>
    <t>Annual Delta</t>
  </si>
  <si>
    <t>Formula logic</t>
  </si>
  <si>
    <t>Case note</t>
  </si>
  <si>
    <t>Total project CAPEX (incl. contingency)</t>
  </si>
  <si>
    <t>ESG_CAPEX OPEX E30. Full scope kept; no reduction.</t>
  </si>
  <si>
    <t>Contingency rate</t>
  </si>
  <si>
    <t>ESG_CAPEX OPEX B29; allocated pro rata to each item.</t>
  </si>
  <si>
    <t>GJ</t>
  </si>
  <si>
    <t>ESG_CAPEX OPEX B6.</t>
  </si>
  <si>
    <t>2026 sales volume</t>
  </si>
  <si>
    <t>Sales Forecast C21.</t>
  </si>
  <si>
    <t>Heat intensity</t>
  </si>
  <si>
    <t>Heat demand scales with output (steam is used per kg of fabric dyed/finished, ESG_CAPEX OPEX D6). Held at the 2026 level.</t>
  </si>
  <si>
    <t>Team option 2: equal tonnes from biomass and from credits (inputs below).</t>
  </si>
  <si>
    <t>B, C, D. Delay 1 year, delay 2 years, even 20% a year</t>
  </si>
  <si>
    <t>2028+</t>
  </si>
  <si>
    <t>Coal only in 2027 (and 2028 for C); D cannot fund the firing core in 2027.</t>
  </si>
  <si>
    <t>Task 4 delay engine; even phasing test above.</t>
  </si>
  <si>
    <t>Screened out: each breaches the 2027-2028 caps, so none can be recommended.</t>
  </si>
  <si>
    <t>Boiler heat limit used for A+, A+C, A+H (× 2026 heat)</t>
  </si>
  <si>
    <t>×</t>
  </si>
  <si>
    <t>Task 2 peak (2029); the retrofitted system is assumed able to supply up to that load; no boiler rating is given in the case (R08).</t>
  </si>
  <si>
    <t>Sales volume at the boiler limit</t>
  </si>
  <si>
    <t>Limit × 2026 volume (heat scales with volume, Task 1).</t>
  </si>
  <si>
    <t>Carbon credit inputs: a Task 5 estimate for the recommendation; the Task 1 emission boundary is unchanged</t>
  </si>
  <si>
    <t>Input</t>
  </si>
  <si>
    <t>Carbon credit price, high-quality avoidance credits (rated A-AAA)</t>
  </si>
  <si>
    <t>USD/tCO2e</t>
  </si>
  <si>
    <t>2026 market level: A-AAA rated credits average USD 14.80/t (MSCI and Allied Offsets data, via Regreener). Range for context: voluntary market average USD 6.34/t (Ecosystem Marketplace 2025, via Senken); removal credits (ARR) EUR 22-50/t (Senken, Sep 2026). Credits are bought in 2030-2031, so a 2026 price is a lower-bound estimate.</t>
  </si>
  <si>
    <t>Share of the A+ step-up replaced by credits: A+C</t>
  </si>
  <si>
    <t>Option 1: biomass stays at the A mix; credits = A+C in-boundary CO2e − A+ CO2e, each year.</t>
  </si>
  <si>
    <t>Share of the A+ step-up replaced by credits: A+H</t>
  </si>
  <si>
    <t>Option 2: half of the A+ step-up in biomass, half in credits; the two halves are equal in tonnes.</t>
  </si>
  <si>
    <t>Offset limit: credits counted toward the LSC cap, max share of the annual cap</t>
  </si>
  <si>
    <t>% of cap</t>
  </si>
  <si>
    <t>Assumption by analogy with Vietnam's carbon market rule (Decree 119/2025/ND-CP amending Decree 06/2022): a covered facility may use carbon credits for at most 30% of its allocated allowances (VnEconomy, Feb 2026). The LSC cap plays the role of the allowance; credits above the limit are bought but do not count.</t>
  </si>
  <si>
    <t>Tax treatment of the credit cost</t>
  </si>
  <si>
    <t>Deductible</t>
  </si>
  <si>
    <t>CIT 20%</t>
  </si>
  <si>
    <t>Assumption: the credit purchase is expensed in the year it is bought and is deductible for CIT (Task 3 rate); paid in cash, no working-capital effect.</t>
  </si>
  <si>
    <t>Break-even credit price vs the A+ biomass step-up</t>
  </si>
  <si>
    <t>Fuel quantity - Coal</t>
  </si>
  <si>
    <t>Credit price at which A+C and A+ have the same EBIT: (A+ ESG OPEX − A+C ESG OPEX, 2027-2031) ÷ credits bought by A+C. Above it, the biomass step-up is cheaper.</t>
  </si>
  <si>
    <t>Scope note</t>
  </si>
  <si>
    <t>Emission Target B17 and F17 fix the boundary at coal + biomass combustion, and Tasks 1-4 keep it. Credits do not change in-boundary CO2e. They are netted only in this Task 5 strategy view, as the "quantified offsets" Emission Target B20 lets teams propose, up to the offset limit above. The in-boundary 2031 reduction stays a scored ESG sub-criterion, so reliance on credits is penalised, and reporting the two figures separately avoids the R07 claim error.</t>
  </si>
  <si>
    <t>t/year</t>
  </si>
  <si>
    <t>Sources (links)</t>
  </si>
  <si>
    <t>Senken: credit prices 2026</t>
  </si>
  <si>
    <t>Heat/NCV</t>
  </si>
  <si>
    <t>Baseline only</t>
  </si>
  <si>
    <t>Fuel quantity - Rice husk pellet</t>
  </si>
  <si>
    <t>Heat share/NCV</t>
  </si>
  <si>
    <t>70% useful heat</t>
  </si>
  <si>
    <t>Fuel quantity - Wood pellet</t>
  </si>
  <si>
    <t>30% useful heat</t>
  </si>
  <si>
    <t>Fuel cost</t>
  </si>
  <si>
    <t>VND/year</t>
  </si>
  <si>
    <t>Qty × price</t>
  </si>
  <si>
    <t>Fuel only</t>
  </si>
  <si>
    <t>Biomass tons × rate</t>
  </si>
  <si>
    <t>Additional fuel handling labor</t>
  </si>
  <si>
    <t>Annual fixed cost</t>
  </si>
  <si>
    <t>3 FTE equivalent</t>
  </si>
  <si>
    <t>Boiler maintenance &amp; refractory</t>
  </si>
  <si>
    <t>% of CAPEX</t>
  </si>
  <si>
    <t>CAPEX × %</t>
  </si>
  <si>
    <t>Higher wear/fouling under biomass</t>
  </si>
  <si>
    <t>More frequent testing</t>
  </si>
  <si>
    <t>Ash disposal/valorization</t>
  </si>
  <si>
    <t>Fuel tons × rate</t>
  </si>
  <si>
    <t>Potential upside if ash sold</t>
  </si>
  <si>
    <t>Incremental safety regime</t>
  </si>
  <si>
    <t>Training/ESG audit recurring</t>
  </si>
  <si>
    <t>Supplier ESG verification</t>
  </si>
  <si>
    <t>TOTAL ANNUAL OPEX</t>
  </si>
  <si>
    <t>D. ESG/carbon performance indicators</t>
  </si>
  <si>
    <t>KPI</t>
  </si>
  <si>
    <t>Improvement</t>
  </si>
  <si>
    <t>Calculation note</t>
  </si>
  <si>
    <t>Annual fuel CO2e</t>
  </si>
  <si>
    <t>Regreener: VCM update</t>
  </si>
  <si>
    <t>Biomass blend: rice husk heat share</t>
  </si>
  <si>
    <t>ESG_CAPEX OPEX B10 (wood pellet = remainder, B11).</t>
  </si>
  <si>
    <t>S&amp;P Global: EUA, 5 Oct 2026</t>
  </si>
  <si>
    <t>Heat-weighted blend.</t>
  </si>
  <si>
    <t>Main boiler tie-in: biomass firing starts</t>
  </si>
  <si>
    <t>VnEconomy: 30% offset rule</t>
  </si>
  <si>
    <t>Boiler retrofit installed during the Feb 2027 Lunar New Year slowdown (Logistics Cost 2027, Feb-27 'LNY slowdown'); in service from 1 Apr 2027.</t>
  </si>
  <si>
    <t>Execution stress: commissioning slip</t>
  </si>
  <si>
    <t>weeks</t>
  </si>
  <si>
    <t>Supply Chain Risks R14: 'Retrofit commissioning slips by 8 weeks'.</t>
  </si>
  <si>
    <t>Decision matrix 2027-2031: raw values, gates, CRITIC objective weights and TOPSIS ranking</t>
  </si>
  <si>
    <t>Operating buffer below buyer cap</t>
  </si>
  <si>
    <t>Headroom kept against seasonal rice-husk shortage forcing coal fallback (R01) and fuel quality drift (R02).</t>
  </si>
  <si>
    <t>A</t>
  </si>
  <si>
    <t>A+</t>
  </si>
  <si>
    <t>A+C</t>
  </si>
  <si>
    <t>A+H</t>
  </si>
  <si>
    <t>Type</t>
  </si>
  <si>
    <t>Code</t>
  </si>
  <si>
    <t>Biomass share step</t>
  </si>
  <si>
    <t>How it is measured</t>
  </si>
  <si>
    <t>Operating mix set in 5-point steps for practical boiler control.</t>
  </si>
  <si>
    <t>Growth</t>
  </si>
  <si>
    <t>Depreciation life</t>
  </si>
  <si>
    <t>years</t>
  </si>
  <si>
    <t>Case rule (Table 03): straight-line, 5 years from commissioning year, no salvage.</t>
  </si>
  <si>
    <t>Sources and notes</t>
  </si>
  <si>
    <t>Cumulative revenue (USD)</t>
  </si>
  <si>
    <t>Case workbook: ESG_CAPEX OPEX (A–D), CO2 Emission Calculation (NCV, EF), Emission Target (A–B), Supply Chain Risks (R01, R02, R04, R05, R06, R14), Logistics Cost 2027 (LNY slowdown), Table 03 case rules.</t>
  </si>
  <si>
    <t>Heat-demand scaling (team assumption): the 300,000 GJ heat demand is sized for dyeing/finishing steam (ESG_CAPEX OPEX D6); steam use per piece is held at the 2026 level. The retrofitted system is assumed able to supply up to 1.72x the 2026 heat (2029); the case gives no boiler rating, so this is flagged with R08 in Task 5.</t>
  </si>
  <si>
    <t>Chart data: heat mix by fuel and the CAPEX-to-net-book-value bridge (feeds the two charts on the right)</t>
  </si>
  <si>
    <t>Benefit</t>
  </si>
  <si>
    <t>C1</t>
  </si>
  <si>
    <t>Share of useful heat by fuel</t>
  </si>
  <si>
    <t>Growth. Sum 2027-2031.</t>
  </si>
  <si>
    <t>2031 sales vs 2026 (×)</t>
  </si>
  <si>
    <t>C2</t>
  </si>
  <si>
    <t>Growth. End-of-roadmap scale.</t>
  </si>
  <si>
    <t>Profitability</t>
  </si>
  <si>
    <t>tCO2e/year</t>
  </si>
  <si>
    <t>Cumulative net profit (USD)</t>
  </si>
  <si>
    <t>Uses workbook EFs: coal 2.365 t/t; rice husk 0.160; wood 0.126</t>
  </si>
  <si>
    <t>CO2e intensity</t>
  </si>
  <si>
    <t>Annual emissions/useful heat</t>
  </si>
  <si>
    <t>CAPEX to net book value bridge (USD)</t>
  </si>
  <si>
    <t>T1 in service</t>
  </si>
  <si>
    <t>Dep. 2027</t>
  </si>
  <si>
    <t>T2 in service</t>
  </si>
  <si>
    <t>Dep. 2028</t>
  </si>
  <si>
    <t>Dep. 2029</t>
  </si>
  <si>
    <t>Dep. 2030</t>
  </si>
  <si>
    <t>Dep. 2031</t>
  </si>
  <si>
    <t>NBV end-2031</t>
  </si>
  <si>
    <t>CO2e reduction</t>
  </si>
  <si>
    <t>Net book value after each step</t>
  </si>
  <si>
    <t>1 - biomass/coal</t>
  </si>
  <si>
    <t>Incremental annual OPEX</t>
  </si>
  <si>
    <t>Chart helper: invisible base</t>
  </si>
  <si>
    <t>Biomass total OPEX - coal OPEX</t>
  </si>
  <si>
    <t>Project CAPEX</t>
  </si>
  <si>
    <t>From CAPEX section</t>
  </si>
  <si>
    <t>Annual depreciation</t>
  </si>
  <si>
    <t>Chart helper: visible bar (addition, depreciation or closing NBV)</t>
  </si>
  <si>
    <t>USD/year</t>
  </si>
  <si>
    <t>Straight-line by component</t>
  </si>
  <si>
    <t>Decision question</t>
  </si>
  <si>
    <t>Can LSC volume commitment/green premium justify the extra cost?</t>
  </si>
  <si>
    <t>Waterfall built as a stacked column: an invisible base plus a visible bar. Additions are the tranches entering service (rows 89 to 90), reductions are annual depreciation (row 94); the closing bar is the book value still to be depreciated after 2031 (Tranche 2, 2032). Heat shares: coal = 1 − biomass share (row 65); biomass split 70% rice husk, 30% wood pellet by heat (C115).</t>
  </si>
  <si>
    <t>Delay 2 years: conversion in 2029</t>
  </si>
  <si>
    <t>C3</t>
  </si>
  <si>
    <t>Profitability. Sum 2027-2031, after the carbon credit cost.</t>
  </si>
  <si>
    <t>Lowest NPM in any year</t>
  </si>
  <si>
    <t>C4</t>
  </si>
  <si>
    <t>Profitability. Weakest year.</t>
  </si>
  <si>
    <t>Cash flow</t>
  </si>
  <si>
    <t>Cumulative free cash flow (USD)</t>
  </si>
  <si>
    <t>C5</t>
  </si>
  <si>
    <t>Cash flow. 2027-2031.</t>
  </si>
  <si>
    <t>Lowest annual free cash flow (USD)</t>
  </si>
  <si>
    <t>C6</t>
  </si>
  <si>
    <t>Cash flow. Peak funding pressure (2027, Tranche 1 year); positive = self-funded every year.</t>
  </si>
  <si>
    <t>ESG compliance</t>
  </si>
  <si>
    <t>Carbon credit cost 2027-2031 (USD)</t>
  </si>
  <si>
    <t>C7</t>
  </si>
  <si>
    <t>ESG. Credits bought × price (inputs above); already inside net profit and FCF.</t>
  </si>
  <si>
    <t>CO2e reduction in 2031 vs 2026, in-boundary</t>
  </si>
  <si>
    <t>C8</t>
  </si>
  <si>
    <t>ESG. Coal + biomass combustion only (Emission Target B17); target 64% (C11).</t>
  </si>
  <si>
    <t>Execution risk</t>
  </si>
  <si>
    <t>Peak biomass fuel vs case design tonnage (×)</t>
  </si>
  <si>
    <t>C9</t>
  </si>
  <si>
    <t>Execution risk. Supply (R01), moisture (R02) and fouling (R04) exposure grows with tonnage; 1.00x = 18,125 t/yr (ESG_CAPEX OPEX E35 + E36).</t>
  </si>
  <si>
    <t>Gates (all must be met)</t>
  </si>
  <si>
    <t>NPM constraint met every year</t>
  </si>
  <si>
    <t>Table 03.</t>
  </si>
  <si>
    <t>Years within both caps, net of counted credits (of 5)</t>
  </si>
  <si>
    <t>COGS STRUCTURE: 5 REPRESENTATIVE TEXIN APPAREL SKUs</t>
  </si>
  <si>
    <t>Important: public sources confirm TEXIN as an apparel-component partner, but do not disclose commercial SKU lists. The five SKUs below are representative case-study products mapped to fabrics publicly associated with TEXIN.</t>
  </si>
  <si>
    <t>A. Product master &amp; manufacturing assumptions</t>
  </si>
  <si>
    <t>SKU</t>
  </si>
  <si>
    <t>Representative product</t>
  </si>
  <si>
    <t>Main fabric platform</t>
  </si>
  <si>
    <t>Net fabric kg/pc</t>
  </si>
  <si>
    <t>Material waste %</t>
  </si>
  <si>
    <t>Fabric USD/kg</t>
  </si>
  <si>
    <t>Annual volume pcs</t>
  </si>
  <si>
    <t>Pack pcs/carton</t>
  </si>
  <si>
    <t>Pcs/40HC</t>
  </si>
  <si>
    <t>Complexity</t>
  </si>
  <si>
    <t>RUN-TS01</t>
  </si>
  <si>
    <t>Running performance T-shirt</t>
  </si>
  <si>
    <t>Poly Single Jersey</t>
  </si>
  <si>
    <t>Low</t>
  </si>
  <si>
    <t>FTB-JR02</t>
  </si>
  <si>
    <t>Football breathable jersey</t>
  </si>
  <si>
    <t>Poly Mesh</t>
  </si>
  <si>
    <t>Low-Med</t>
  </si>
  <si>
    <t>HIK-SH03</t>
  </si>
  <si>
    <t>Hiking quick-dry shorts</t>
  </si>
  <si>
    <t>Nylon Taslan</t>
  </si>
  <si>
    <t>TRN-JK04</t>
  </si>
  <si>
    <t>Training lightweight jacket</t>
  </si>
  <si>
    <t>Micro Plain + Mesh</t>
  </si>
  <si>
    <t>FIT-SW05</t>
  </si>
  <si>
    <t>Fitness French Terry sweatshirt</t>
  </si>
  <si>
    <t>French Terry Knit</t>
  </si>
  <si>
    <t>Medium-High</t>
  </si>
  <si>
    <t>B. Unit COGS by product (USD/piece)</t>
  </si>
  <si>
    <t>Fabric incl. waste</t>
  </si>
  <si>
    <t>Trims &amp; accessories</t>
  </si>
  <si>
    <t>Dyeing/finishing</t>
  </si>
  <si>
    <t>Direct labor</t>
  </si>
  <si>
    <t>ESG energy allocation</t>
  </si>
  <si>
    <t>QA &amp; testing</t>
  </si>
  <si>
    <t>Packaging</t>
  </si>
  <si>
    <t>Factory OH</t>
  </si>
  <si>
    <t>Depreciation</t>
  </si>
  <si>
    <t>Total COGS</t>
  </si>
  <si>
    <t>Annual Volume</t>
  </si>
  <si>
    <t>Annual COGS</t>
  </si>
  <si>
    <t>COGS note</t>
  </si>
  <si>
    <t>High-volume basic performance top</t>
  </si>
  <si>
    <t>5</t>
  </si>
  <si>
    <t>Annual buyer review (Emission Target B19); credits count up to the offset limit (B20 and input above).</t>
  </si>
  <si>
    <t>Mesh fabric + ventilation quality checks</t>
  </si>
  <si>
    <t>Peak share of the annual cap covered by credits</t>
  </si>
  <si>
    <t>Zips/pockets/higher sewing content</t>
  </si>
  <si>
    <t>Multi-panel, zipper, lining/mesh</t>
  </si>
  <si>
    <t>Heavier knit/finishing demand</t>
  </si>
  <si>
    <t>COGS design principle</t>
  </si>
  <si>
    <t>Interpretation</t>
  </si>
  <si>
    <t>Team task</t>
  </si>
  <si>
    <t>Fabric-heavy products</t>
  </si>
  <si>
    <t>Material cost dominates; waste and yield matter</t>
  </si>
  <si>
    <t>Reduce waste without quality loss</t>
  </si>
  <si>
    <t>Case prompt</t>
  </si>
  <si>
    <t>Biomass conversion</t>
  </si>
  <si>
    <t>Energy allocation is embedded in product COGS</t>
  </si>
  <si>
    <t>Decide whether ESG cost is absorbed or passed through</t>
  </si>
  <si>
    <t>High-complexity garments</t>
  </si>
  <si>
    <t>≤ limit</t>
  </si>
  <si>
    <t>Labor, trims and QA increase sharply</t>
  </si>
  <si>
    <t>Assess make/buy and automation opportunities</t>
  </si>
  <si>
    <t>Credits needed ÷ buyer cap, worst year; above the offset limit the excess does not count.</t>
  </si>
  <si>
    <t>Both buyer CO2e caps met every year</t>
  </si>
  <si>
    <t>Emission Target (mandatory annual improvement).</t>
  </si>
  <si>
    <t>Full CAPEX envelope in service by 2031</t>
  </si>
  <si>
    <t>Table 03 (no scope reduction).</t>
  </si>
  <si>
    <t>Eligible (passes all gates)</t>
  </si>
  <si>
    <t>Only eligible options can be recommended.</t>
  </si>
  <si>
    <t>Step 1. Normalised decision matrix R (4 options × 9 sub-criteria, min-max to 0-1)</t>
  </si>
  <si>
    <t>Benefit: (x − min) ÷ (max − min); cost: (max − x) ÷ (max − min). A sub-criterion identical for all options gets 1 (no information).</t>
  </si>
  <si>
    <t>C1 Revenue</t>
  </si>
  <si>
    <t>C2 2031 scale</t>
  </si>
  <si>
    <t>C3 Net profit</t>
  </si>
  <si>
    <t>C4 Lowest NPM</t>
  </si>
  <si>
    <t>C5 FCF</t>
  </si>
  <si>
    <t>C6 Lowest FCF</t>
  </si>
  <si>
    <t>C7 Credit cost</t>
  </si>
  <si>
    <t>C8 CO2e cut 2031</t>
  </si>
  <si>
    <t>C9 Peak biomass</t>
  </si>
  <si>
    <t>Group</t>
  </si>
  <si>
    <t>C1-C2 Growth · C3-C4 Profitability · C5-C6 Cash flow · C7-C8 ESG · C9 Execution risk</t>
  </si>
  <si>
    <t>Check: no-delay block equals Task 2 realized sales</t>
  </si>
  <si>
    <t>EXW price, ESG pathway (incl. ESG/traceability premium)</t>
  </si>
  <si>
    <t>USD/pc</t>
  </si>
  <si>
    <t>Template row 43 (EXW Price G6:G10, 2026 SKU mix).</t>
  </si>
  <si>
    <t>EXW price, Traditional (no ESG premium)</t>
  </si>
  <si>
    <t>EXW Price E6:E10 = base EXW before the 1.5–2.5% ESG/traceability premium (F6:F10), same SKU mix. A coal-based supplier cannot claim the premium.</t>
  </si>
  <si>
    <t>ESG premium in the weighted price</t>
  </si>
  <si>
    <t>Formula.</t>
  </si>
  <si>
    <t>Base COGS per piece (both pathways)</t>
  </si>
  <si>
    <t>Template row 45; ESG costs are added only on the ESG pathway (Task 3).</t>
  </si>
  <si>
    <t>Traditional order change 2030–2031</t>
  </si>
  <si>
    <t>% a year</t>
  </si>
  <si>
    <t>Held at the 2029 rate (Sales Forecast B12, D12 'accelerated order loss as requirements tighten'); the buyer gate keeps tightening to the 2031 full-roadmap gate (Emission Target G11, H11).</t>
  </si>
  <si>
    <t>Task 1 (held at the 2026 level).</t>
  </si>
  <si>
    <t>Task 1.</t>
  </si>
  <si>
    <t>Design biomass mix used for carbon-allowed capacity</t>
  </si>
  <si>
    <t>Carbon-Allowed Capacity (case target mix ~78%), as in Task 2.</t>
  </si>
  <si>
    <t>Step 2. CRITIC: correlation between sub-criteria r_jk (9 × 9, Pearson on the columns of R)</t>
  </si>
  <si>
    <t>A sub-criterion with zero spread carries no information: its correlations are set to 1, so it adds no conflict.</t>
  </si>
  <si>
    <t>Share of the conversion year on biomass</t>
  </si>
  <si>
    <t>Criterion</t>
  </si>
  <si>
    <t>Task 1: biomass from 1 April of the conversion year.</t>
  </si>
  <si>
    <t>Traditional orders 2030–2031</t>
  </si>
  <si>
    <t>Erosion held at the 2029 rate (−15% a year): not accelerated and not reversed.</t>
  </si>
  <si>
    <t>Sales Forecast B12, D12; Emission Target H10:H11; Table 03 2030–2031 rule (no mechanical extension of growth).</t>
  </si>
  <si>
    <t>Traditional price and costs</t>
  </si>
  <si>
    <t>Base EXW price without the premium; same COGS/pc, SG&amp;A rule, working-capital days and tax as Task 3; no ESG CAPEX or OPEX. The coal plant fails the intensity cap every year from 2027 (94.6 &gt; 80.41 kg/GJ).</t>
  </si>
  <si>
    <t>EXW Price E6:F10; Task 3 inputs; Emission Target E7:E11.</t>
  </si>
  <si>
    <t>A delay shifts the whole roadmap: on coal, orders follow the Traditional erosion; from conversion, the ESG ramp and risk-adjusted conversion restart from the lower base, capped by carbon-allowed capacity at the 78% design mix.</t>
  </si>
  <si>
    <t>Task 2; Sales Forecast D7:D12; Emission Target H7:H8 (allocation held or frozen when targets are missed); Carbon-Allowed Capacity method.</t>
  </si>
  <si>
    <t>Biomass in service from 1 April of the conversion year, as in Task 1 (75.3% of the first year on biomass).</t>
  </si>
  <si>
    <t>Task 1 commissioning milestone.</t>
  </si>
  <si>
    <t>Definition of revenue at risk</t>
  </si>
  <si>
    <t>ESG-pathway revenue minus the alternative path revenue in the same year, each at its own price (premium only when ESG is active).</t>
  </si>
  <si>
    <t>Requirement 4.</t>
  </si>
  <si>
    <t>Sources: Sales Forecast &amp; Case 2A KPI (A–C), EXW Price (E6:G10), Emission Target (A–B), Carbon-Allowed Capacity; Tasks 1–3 of this workbook.</t>
  </si>
  <si>
    <t>TEXIN EX-WORKS PRICE TO LSC</t>
  </si>
  <si>
    <t>EXW pricing is linked to the COGS sheet. Teams may change target margin, ESG premium and annual volume to test commercial trade-offs.</t>
  </si>
  <si>
    <t>A. EXW price build-up</t>
  </si>
  <si>
    <t>Product</t>
  </si>
  <si>
    <t>COGS USD/pc</t>
  </si>
  <si>
    <t>Target Gross Margin %</t>
  </si>
  <si>
    <t>Base EXW USD/pc</t>
  </si>
  <si>
    <t>ESG/traceability premium %</t>
  </si>
  <si>
    <t>Final EXW USD/pc</t>
  </si>
  <si>
    <t>Annual Volume pcs</t>
  </si>
  <si>
    <t>Annual Revenue USD</t>
  </si>
  <si>
    <t>Gross Profit USD</t>
  </si>
  <si>
    <t>GP %</t>
  </si>
  <si>
    <t>Portfolio KPI</t>
  </si>
  <si>
    <t>Formula/value</t>
  </si>
  <si>
    <t>Case challenge</t>
  </si>
  <si>
    <t>Input/Output</t>
  </si>
  <si>
    <t>Total annual revenue</t>
  </si>
  <si>
    <t>EXW sales value</t>
  </si>
  <si>
    <t>What premium can LSC accept?</t>
  </si>
  <si>
    <t>Output</t>
  </si>
  <si>
    <t>Total gross profit</t>
  </si>
  <si>
    <t>Revenue less manufacturing COGS</t>
  </si>
  <si>
    <t>Can it fund ESG investment?</t>
  </si>
  <si>
    <t>LOGISTICS COST: TEXIN → CAT LAI → FRANCE/PORTUGAL/ROMANIA (2027)</t>
  </si>
  <si>
    <t>Weighted gross margin</t>
  </si>
  <si>
    <t>All 2027 ocean rates are scenario forecasts for competition use, not carrier quotations. They are anchored to 2026 Asia-Europe market benchmarks and include seasonality/peak-season assumptions.</t>
  </si>
  <si>
    <t>Portfolio-level profitability</t>
  </si>
  <si>
    <t>Balance sustainability and competitiveness</t>
  </si>
  <si>
    <t>Commercial rule</t>
  </si>
  <si>
    <t>Notes</t>
  </si>
  <si>
    <t>Incoterm</t>
  </si>
  <si>
    <t>EXW</t>
  </si>
  <si>
    <t>Buyer controls main transport after factory pickup; logistics sheet separately models origin-to-door cost.</t>
  </si>
  <si>
    <t>Currency</t>
  </si>
  <si>
    <t>FX risk is treated in Risk sheet.</t>
  </si>
  <si>
    <t>A. Origin EXW-to-Cat Lai charges - 40HC</t>
  </si>
  <si>
    <t>Charge item</t>
  </si>
  <si>
    <t>Rate</t>
  </si>
  <si>
    <t>Included in total?</t>
  </si>
  <si>
    <t>Case note/benchmark</t>
  </si>
  <si>
    <t>Export customs clearance</t>
  </si>
  <si>
    <t>shipment</t>
  </si>
  <si>
    <t>Case benchmark</t>
  </si>
  <si>
    <t>Trucking: TEXIN Trang Bang → Cat Lai</t>
  </si>
  <si>
    <t>40HC</t>
  </si>
  <si>
    <t>Case assumption; longer than Cat Lai-Binh Duong benchmark</t>
  </si>
  <si>
    <t>Origin handling/OHC</t>
  </si>
  <si>
    <t>5,000,000 VND/40' dry at ~25,500 VND/USD</t>
  </si>
  <si>
    <t>VGM</t>
  </si>
  <si>
    <t>container</t>
  </si>
  <si>
    <t>B/L documentation</t>
  </si>
  <si>
    <t>B/L</t>
  </si>
  <si>
    <t>Seal</t>
  </si>
  <si>
    <t>Booking/admin</t>
  </si>
  <si>
    <t>TOTAL ORIGIN COST</t>
  </si>
  <si>
    <t>Excludes ocean freight</t>
  </si>
  <si>
    <t>B. Destination door-cost assumptions - 40HC</t>
  </si>
  <si>
    <t>Market</t>
  </si>
  <si>
    <t>Main Port</t>
  </si>
  <si>
    <t>Representative LSC DC</t>
  </si>
  <si>
    <t>Port/DHC USD</t>
  </si>
  <si>
    <t>Customs Broker USD</t>
  </si>
  <si>
    <t>Doc/Security USD</t>
  </si>
  <si>
    <t>Inland Truck USD</t>
  </si>
  <si>
    <t>Total Dest. USD</t>
  </si>
  <si>
    <t>Door distance assumption</t>
  </si>
  <si>
    <t>France</t>
  </si>
  <si>
    <t>Le Havre</t>
  </si>
  <si>
    <t>Lille area DC</t>
  </si>
  <si>
    <t>~250 km</t>
  </si>
  <si>
    <t>Import duty/VAT excluded</t>
  </si>
  <si>
    <t>Portugal</t>
  </si>
  <si>
    <t>Sines</t>
  </si>
  <si>
    <t>Lisbon/Setubal area DC</t>
  </si>
  <si>
    <t>~120 km</t>
  </si>
  <si>
    <t>Romania</t>
  </si>
  <si>
    <t>Constanta</t>
  </si>
  <si>
    <t>Bucharest area DC</t>
  </si>
  <si>
    <t>~225 km</t>
  </si>
  <si>
    <t>C. 2027 ocean freight scenario by month - USD/40HC</t>
  </si>
  <si>
    <t>Month</t>
  </si>
  <si>
    <t>Seasonality</t>
  </si>
  <si>
    <t>France - Le Havre</t>
  </si>
  <si>
    <t>Portugal - Sines</t>
  </si>
  <si>
    <t>Romania - Constanta</t>
  </si>
  <si>
    <t>Market logic</t>
  </si>
  <si>
    <t>Jan-27</t>
  </si>
  <si>
    <t>Pre-LNY</t>
  </si>
  <si>
    <t>Asia export pull-forward before Lunar New Year</t>
  </si>
  <si>
    <t>Feb-27</t>
  </si>
  <si>
    <t>LNY slowdown</t>
  </si>
  <si>
    <t>Factory slowdown/weaker booking demand</t>
  </si>
  <si>
    <t>Mar-27</t>
  </si>
  <si>
    <t>Post-LNY normalization</t>
  </si>
  <si>
    <t>Apr-27</t>
  </si>
  <si>
    <t>Shoulder</t>
  </si>
  <si>
    <t>Balanced demand/capacity</t>
  </si>
  <si>
    <t>May-27</t>
  </si>
  <si>
    <t>Ramp-up</t>
  </si>
  <si>
    <t>Summer inventory build</t>
  </si>
  <si>
    <t>Jun-27</t>
  </si>
  <si>
    <t>Peak build</t>
  </si>
  <si>
    <t>Pre-peak bookings tighten capacity</t>
  </si>
  <si>
    <t>Jul-27</t>
  </si>
  <si>
    <t>Peak</t>
  </si>
  <si>
    <t>Peak-season surcharge/tight equipment</t>
  </si>
  <si>
    <t>Aug-27</t>
  </si>
  <si>
    <t>Sep-27</t>
  </si>
  <si>
    <t>Post-peak</t>
  </si>
  <si>
    <t>Demand cools after summer peak</t>
  </si>
  <si>
    <t>Oct-27</t>
  </si>
  <si>
    <t>Nov-27</t>
  </si>
  <si>
    <t>Year-end build</t>
  </si>
  <si>
    <t>Holiday/year-end replenishment</t>
  </si>
  <si>
    <t>Dec-27</t>
  </si>
  <si>
    <t>Year-end peak</t>
  </si>
  <si>
    <t>Year-end capacity pressure</t>
  </si>
  <si>
    <t>D. Total door logistics cost by month - Origin + Ocean + Destination</t>
  </si>
  <si>
    <t>France Door USD/40HC</t>
  </si>
  <si>
    <t>Portugal Door USD/40HC</t>
  </si>
  <si>
    <t>Romania Door USD/40HC</t>
  </si>
  <si>
    <t>Origin Cost</t>
  </si>
  <si>
    <t>France Dest.</t>
  </si>
  <si>
    <t>Portugal Dest.</t>
  </si>
  <si>
    <t>Romania Dest.</t>
  </si>
  <si>
    <t>E. Container loading &amp; logistics cost per piece - average 2027</t>
  </si>
  <si>
    <t>SUPPLY CHAIN RISK REGISTER FOR THE ESG TRANSFORMATION</t>
  </si>
  <si>
    <t>Avg France Door</t>
  </si>
  <si>
    <t>USD/pc France</t>
  </si>
  <si>
    <t>Avg Portugal Door</t>
  </si>
  <si>
    <t>USD/pc Portugal</t>
  </si>
  <si>
    <t>Romania Avg Door</t>
  </si>
  <si>
    <t>USD/pc Romania</t>
  </si>
  <si>
    <t>Teams should identify mitigation actions, contingency plans, ownership and decision triggers. The sheet intentionally gives symptoms and data clues, not the solution.</t>
  </si>
  <si>
    <t>A. Risk scoring method</t>
  </si>
  <si>
    <t>Step 3. CRITIC weights: C_j = σ_j × Σ_k (1 − r_jk); w_j = C_j ÷ Σ C_j</t>
  </si>
  <si>
    <t>Scale</t>
  </si>
  <si>
    <t>1</t>
  </si>
  <si>
    <t>2</t>
  </si>
  <si>
    <t>3</t>
  </si>
  <si>
    <t>4</t>
  </si>
  <si>
    <t>σ_j = standard deviation of column j of R (contrast); Σ(1 − r_jk) = conflict with the other sub-criteria.</t>
  </si>
  <si>
    <t>Probability</t>
  </si>
  <si>
    <t>Rare</t>
  </si>
  <si>
    <t>Unlikely</t>
  </si>
  <si>
    <t>Possible</t>
  </si>
  <si>
    <t>Likely</t>
  </si>
  <si>
    <t>Almost certain</t>
  </si>
  <si>
    <t>σ_j (contrast)</t>
  </si>
  <si>
    <t>Impact</t>
  </si>
  <si>
    <t>Negligible</t>
  </si>
  <si>
    <t>Minor</t>
  </si>
  <si>
    <t>Moderate</t>
  </si>
  <si>
    <t>Major</t>
  </si>
  <si>
    <t>Risk score</t>
  </si>
  <si>
    <t>P × I</t>
  </si>
  <si>
    <t>Risk level</t>
  </si>
  <si>
    <t>1-4 Low</t>
  </si>
  <si>
    <t>5-9 Medium</t>
  </si>
  <si>
    <t>10-16 High</t>
  </si>
  <si>
    <t>17-25 Critical</t>
  </si>
  <si>
    <t>Largest weights go to the sub-criteria that separate the options most and agree least with the others.</t>
  </si>
  <si>
    <t>Σ_k (1 − r_jk) (conflict)</t>
  </si>
  <si>
    <t>B. Case risk register</t>
  </si>
  <si>
    <t>ID</t>
  </si>
  <si>
    <t>Risk category</t>
  </si>
  <si>
    <t>Risk event</t>
  </si>
  <si>
    <t>Level</t>
  </si>
  <si>
    <t>Trigger/Data clue</t>
  </si>
  <si>
    <t>Potential Consequence</t>
  </si>
  <si>
    <t>Current Control</t>
  </si>
  <si>
    <t>Team Challenge</t>
  </si>
  <si>
    <t>Owner</t>
  </si>
  <si>
    <t>Time Horizon</t>
  </si>
  <si>
    <t>R01</t>
  </si>
  <si>
    <t>Fuel supply</t>
  </si>
  <si>
    <t>Rice-husk pellet supply drops in rainy season</t>
  </si>
  <si>
    <t>Supplier OTIF &lt;85%; local moisture season</t>
  </si>
  <si>
    <t>Biomass shortage; coal fallback; ESG target missed</t>
  </si>
  <si>
    <t>2 approved suppliers</t>
  </si>
  <si>
    <t>Design sourcing strategy/buffer policy</t>
  </si>
  <si>
    <t>Procurement</t>
  </si>
  <si>
    <t>Seasonal</t>
  </si>
  <si>
    <t>R02</t>
  </si>
  <si>
    <t>Fuel quality</t>
  </si>
  <si>
    <t>Biomass moisture rises from 10% to 18%</t>
  </si>
  <si>
    <t>NCV falls; steam per ton fuel declines</t>
  </si>
  <si>
    <t>Higher fuel usage, unstable steam, shade/quality risk</t>
  </si>
  <si>
    <t>Incoming visual check only</t>
  </si>
  <si>
    <t>Define fuel specs, testing and rejection rule</t>
  </si>
  <si>
    <t>QA + Utilities</t>
  </si>
  <si>
    <t>Immediate</t>
  </si>
  <si>
    <t>R03</t>
  </si>
  <si>
    <t>Commodity price</t>
  </si>
  <si>
    <t>Rice-husk pellet price increases 28%</t>
  </si>
  <si>
    <t>Agricultural residue demand rises</t>
  </si>
  <si>
    <t>COGS inflation; EXW margin compression</t>
  </si>
  <si>
    <t>Quarterly pricing</t>
  </si>
  <si>
    <t>Build price-index/contract mechanism</t>
  </si>
  <si>
    <t>Finance + Procurement</t>
  </si>
  <si>
    <t>3-12 months</t>
  </si>
  <si>
    <t>R04</t>
  </si>
  <si>
    <t>Boiler reliability</t>
  </si>
  <si>
    <t>Silica-rich ash causes fouling/slagging</t>
  </si>
  <si>
    <t>Boiler efficiency -8%; cleaning frequency doubles</t>
  </si>
  <si>
    <t>Unplanned downtime; missed production</t>
  </si>
  <si>
    <t>Preventive maintenance</t>
  </si>
  <si>
    <t>Redesign PM/fuel blend/spares</t>
  </si>
  <si>
    <t>Engineering</t>
  </si>
  <si>
    <t>R05</t>
  </si>
  <si>
    <t>Safety</t>
  </si>
  <si>
    <t>Biomass dust fire in storage/conveyor area</t>
  </si>
  <si>
    <t>Dust accumulation; hot bearing/spark</t>
  </si>
  <si>
    <t>Injury, shutdown, ESG reputation damage</t>
  </si>
  <si>
    <t>Basic fire system</t>
  </si>
  <si>
    <t>Create prevention + emergency response</t>
  </si>
  <si>
    <t>EHS</t>
  </si>
  <si>
    <t>R06</t>
  </si>
  <si>
    <t>ESG assurance</t>
  </si>
  <si>
    <t>Fuel claimed sustainable but traceability is incomplete</t>
  </si>
  <si>
    <t>Supplier cannot provide chain-of-custody evidence</t>
  </si>
  <si>
    <t>Audit finding; greenwashing allegation</t>
  </si>
  <si>
    <t>Supplier declaration</t>
  </si>
  <si>
    <t>Build verification/audit framework</t>
  </si>
  <si>
    <t>ESG + Procurement</t>
  </si>
  <si>
    <t>Annual audit</t>
  </si>
  <si>
    <t>R07</t>
  </si>
  <si>
    <t>Carbon accounting</t>
  </si>
  <si>
    <t>Biogenic CO2 and lifecycle CO2e are mixed in reporting</t>
  </si>
  <si>
    <t>Scope 1 and Scope 3 boundaries inconsistent</t>
  </si>
  <si>
    <t>Incorrect reduction claim; target credibility issue</t>
  </si>
  <si>
    <t>Spreadsheet tracking</t>
  </si>
  <si>
    <t>Define GHG boundary and methodology</t>
  </si>
  <si>
    <t>ESG + Finance</t>
  </si>
  <si>
    <t>Reporting cycle</t>
  </si>
  <si>
    <t>R08</t>
  </si>
  <si>
    <t>Production quality</t>
  </si>
  <si>
    <t>Steam pressure variability affects dyeing/finishing</t>
  </si>
  <si>
    <t>Temperature deviation &gt; spec; rework increases</t>
  </si>
  <si>
    <t>Color-shade defects; scrap; delivery delay</t>
  </si>
  <si>
    <t>Operator adjustment</t>
  </si>
  <si>
    <t>Link utilities KPI to quality controls</t>
  </si>
  <si>
    <t>R09</t>
  </si>
  <si>
    <t>Port/export</t>
  </si>
  <si>
    <t>Cat Lai congestion causes CY cut-off miss</t>
  </si>
  <si>
    <t>Truck queue &gt;6h; SI/VGM cut-off tight</t>
  </si>
  <si>
    <t>Roll to next vessel; 7-14 day delay</t>
  </si>
  <si>
    <t>Standard booking lead time</t>
  </si>
  <si>
    <t>Design cut-off and buffer policy</t>
  </si>
  <si>
    <t>Logistics</t>
  </si>
  <si>
    <t>Peak season</t>
  </si>
  <si>
    <t>R10</t>
  </si>
  <si>
    <t>Ocean freight</t>
  </si>
  <si>
    <t>Asia–Europe peak rate exceeds budget by 25%</t>
  </si>
  <si>
    <t>Jul-Aug/Dec rates spike; blank sailings</t>
  </si>
  <si>
    <t>Landed-cost overrun; margin pressure</t>
  </si>
  <si>
    <t>Spot booking mix</t>
  </si>
  <si>
    <t>Develop contract/spot allocation strategy</t>
  </si>
  <si>
    <t>Logistics + Finance</t>
  </si>
  <si>
    <t>R11</t>
  </si>
  <si>
    <t>Geopolitical route</t>
  </si>
  <si>
    <t>Suez/Red Sea disruption extends transit by 10-15 days</t>
  </si>
  <si>
    <t>Carrier reroutes around Cape of Good Hope</t>
  </si>
  <si>
    <t>Inventory shortage in EU; working-capital increase</t>
  </si>
  <si>
    <t>No formal alternate route policy</t>
  </si>
  <si>
    <t>Design inventory/route contingency</t>
  </si>
  <si>
    <t>Supply Chain</t>
  </si>
  <si>
    <t>Event-driven</t>
  </si>
  <si>
    <t>R12</t>
  </si>
  <si>
    <t>Demand</t>
  </si>
  <si>
    <t>LSC pulls forward 20% of Q3 orders</t>
  </si>
  <si>
    <t>EU promotion/season shift</t>
  </si>
  <si>
    <t>Capacity overload and biomass demand spike</t>
  </si>
  <si>
    <t>Monthly forecast</t>
  </si>
  <si>
    <t>Build S&amp;OP response and capacity plan</t>
  </si>
  <si>
    <t>Planning</t>
  </si>
  <si>
    <t>Quarterly</t>
  </si>
  <si>
    <t>C_j = σ_j × Σ (1 − r_jk)</t>
  </si>
  <si>
    <t>R13</t>
  </si>
  <si>
    <t>FX</t>
  </si>
  <si>
    <t>USD/VND moves ±5% while biomass is bought in VND</t>
  </si>
  <si>
    <t>FX volatility versus EXW contract currency</t>
  </si>
  <si>
    <t>Margin volatility</t>
  </si>
  <si>
    <t>No hedge in base case</t>
  </si>
  <si>
    <t>Recommend commercial/treasury response</t>
  </si>
  <si>
    <t>Finance</t>
  </si>
  <si>
    <t>Monthly</t>
  </si>
  <si>
    <t>R14</t>
  </si>
  <si>
    <t>Investment</t>
  </si>
  <si>
    <t>Retrofit commissioning slips by 8 weeks</t>
  </si>
  <si>
    <t>Late equipment/failed performance test</t>
  </si>
  <si>
    <t>Double-running cost; ESG milestone missed</t>
  </si>
  <si>
    <t>Project plan</t>
  </si>
  <si>
    <t>Create stage gates and fallback plan</t>
  </si>
  <si>
    <t>Project Mgmt</t>
  </si>
  <si>
    <t>Implementation</t>
  </si>
  <si>
    <t>C. Required team output</t>
  </si>
  <si>
    <t>Weight w_j</t>
  </si>
  <si>
    <t>Deliverable</t>
  </si>
  <si>
    <t>Minimum requirement</t>
  </si>
  <si>
    <t>Suggested tool</t>
  </si>
  <si>
    <t>Scoring focus</t>
  </si>
  <si>
    <t>Do not assume</t>
  </si>
  <si>
    <t>Top-5 risk prioritization</t>
  </si>
  <si>
    <t>Explain why these five dominate</t>
  </si>
  <si>
    <t>Risk heat map/FMEA</t>
  </si>
  <si>
    <t>Logic + quantified impact</t>
  </si>
  <si>
    <t>All risks can be eliminated</t>
  </si>
  <si>
    <t>Mitigation plan</t>
  </si>
  <si>
    <t>Preventive + contingency action</t>
  </si>
  <si>
    <t>Risk response matrix</t>
  </si>
  <si>
    <t>Feasibility/cost</t>
  </si>
  <si>
    <t>Supplier will absorb all cost</t>
  </si>
  <si>
    <t>Biomass sourcing strategy</t>
  </si>
  <si>
    <t>Supplier count, buffer days, specs, price mechanism</t>
  </si>
  <si>
    <t>Sourcing model</t>
  </si>
  <si>
    <t>Resilience + ESG traceability</t>
  </si>
  <si>
    <t>Unlimited certified biomass</t>
  </si>
  <si>
    <t>Logistics strategy</t>
  </si>
  <si>
    <t>Contract vs spot, booking lead time, inventory buffers</t>
  </si>
  <si>
    <t>Scenario planning</t>
  </si>
  <si>
    <t>Cost-service trade-off</t>
  </si>
  <si>
    <t>Ocean rates are stable</t>
  </si>
  <si>
    <t>Carbon governance</t>
  </si>
  <si>
    <t>Boundary, emission-factor policy, evidence trail</t>
  </si>
  <si>
    <t>GHG protocol logic</t>
  </si>
  <si>
    <t>Auditability</t>
  </si>
  <si>
    <t>All biomass CO2 is automatically zero</t>
  </si>
  <si>
    <t>Financial recommendation</t>
  </si>
  <si>
    <t>Who funds CAPEX/premium/payback logic</t>
  </si>
  <si>
    <t>Business case</t>
  </si>
  <si>
    <t>Commercial realism</t>
  </si>
  <si>
    <t>ESG has no cost</t>
  </si>
  <si>
    <t>Σ w_j</t>
  </si>
  <si>
    <t>CASE 1 - ESG INVESTMENT ROADMAP, SALES FORECAST &amp; 5-YEAR P&amp;L CHALLENGE</t>
  </si>
  <si>
    <t>Step 4. Weighted normalised matrix V = R × w (4 × 9) and TOPSIS</t>
  </si>
  <si>
    <t>Ideal A+ = column max of V, anti-ideal A− = column min (R is already oriented, so higher is better everywhere).</t>
  </si>
  <si>
    <t>Sales forecast = potential orders communicated by the customer based on EU market growth. It is not a firm purchase commitment. Teams must test whether the ESG investment roadmap can convert this opportunity into profitable growth.</t>
  </si>
  <si>
    <t>D+ (to ideal)</t>
  </si>
  <si>
    <t>D− (to anti-ideal)</t>
  </si>
  <si>
    <t>Closeness CC</t>
  </si>
  <si>
    <t>Rank (eligible)</t>
  </si>
  <si>
    <t>A. COMMERCIAL SCENARIO ASSUMPTIONS</t>
  </si>
  <si>
    <t>Actual 2026</t>
  </si>
  <si>
    <t>ESG/Roadmap</t>
  </si>
  <si>
    <t>Traditional/No ESG</t>
  </si>
  <si>
    <t>Actual portfolio volume; equals current 5-SKU base volume</t>
  </si>
  <si>
    <t>ESG scenario growth - 2027</t>
  </si>
  <si>
    <t>% YoY</t>
  </si>
  <si>
    <t>Potential orders if TEXIN formally accepts the 5-year ESG roadmap</t>
  </si>
  <si>
    <t>ESG scenario growth - 2028</t>
  </si>
  <si>
    <t>Potential orders; customer allocation expands as ESG milestones are delivered</t>
  </si>
  <si>
    <t>ESG scenario growth - 2029</t>
  </si>
  <si>
    <t>Potential orders; higher EU sourcing allocation after demonstrated compliance</t>
  </si>
  <si>
    <t>Traditional scenario decline - 2027</t>
  </si>
  <si>
    <t>Potential order erosion if TEXIN keeps the traditional operating model</t>
  </si>
  <si>
    <t>Traditional scenario decline - 2028</t>
  </si>
  <si>
    <t>Progressive reallocation toward ESG-compliant suppliers</t>
  </si>
  <si>
    <t>Traditional scenario decline - 2029</t>
  </si>
  <si>
    <t>Accelerated order loss as customer sustainability requirements tighten</t>
  </si>
  <si>
    <t>B. SALES VOLUME - 2026 ACTUAL &amp; 2027-2029 POTENTIAL ORDERS</t>
  </si>
  <si>
    <t>2026 Actual</t>
  </si>
  <si>
    <t>2027 ESG</t>
  </si>
  <si>
    <t>2028 ESG</t>
  </si>
  <si>
    <t>2029 ESG</t>
  </si>
  <si>
    <t>2027 Traditional</t>
  </si>
  <si>
    <t>2028 Traditional</t>
  </si>
  <si>
    <t>2029 Traditional</t>
  </si>
  <si>
    <t>2027 ESG Δ</t>
  </si>
  <si>
    <t>2028 ESG Δ</t>
  </si>
  <si>
    <t>2029 ESG Δ</t>
  </si>
  <si>
    <t>2029 ESG vs Traditional</t>
  </si>
  <si>
    <t>Remark</t>
  </si>
  <si>
    <t>Ideal A+ (max of each column)</t>
  </si>
  <si>
    <t>Anti-ideal A− (min of each column)</t>
  </si>
  <si>
    <t>Step 5. Ranking result and cross-check with two other methods (same CRITIC weights)</t>
  </si>
  <si>
    <t>Method</t>
  </si>
  <si>
    <t>Better</t>
  </si>
  <si>
    <t>Winner (eligible)</t>
  </si>
  <si>
    <t>Reading</t>
  </si>
  <si>
    <t>TOPSIS closeness CC (main method)</t>
  </si>
  <si>
    <t>Higher</t>
  </si>
  <si>
    <t>Main ranking: distance to the ideal and anti-ideal option on all nine weighted sub-criteria.</t>
  </si>
  <si>
    <t>VIKOR Q (v = 0.5)</t>
  </si>
  <si>
    <t>TOTAL PORTFOLIO</t>
  </si>
  <si>
    <t>653</t>
  </si>
  <si>
    <t>Portfolio total</t>
  </si>
  <si>
    <t>Lower</t>
  </si>
  <si>
    <t>C. CASE STUDY 2A - 5-YEAR ESG CAPEX/OPEX &amp; P&amp;L CHALLENGE</t>
  </si>
  <si>
    <t>Compromise ranking: penalises the single worst weighted gap (regret), so lopsided options lose.</t>
  </si>
  <si>
    <t>SAW (Σ w_j × r_ij)</t>
  </si>
  <si>
    <t>Case objective</t>
  </si>
  <si>
    <t>Design a 2027-2031 ESG investment roadmap that converts TEXIN from the traditional coal-based model to the target ESG operating model while protecting profitability.</t>
  </si>
  <si>
    <t>CAPEX envelope</t>
  </si>
  <si>
    <t>Use the TOTAL PROJECT CAPEX in sheet 'ESG_CAPEX OPEX' as the base investment envelope. Teams may phase the spending across 5 years, but may not reduce the total scope without a documented alternative.</t>
  </si>
  <si>
    <t>Depreciation rule</t>
  </si>
  <si>
    <t>For competition purposes, depreciate each CAPEX tranche on a straight-line basis over 5 years, starting in the year that tranche is commissioned. No salvage value.</t>
  </si>
  <si>
    <t>OPEX rule</t>
  </si>
  <si>
    <t>Include incremental ESG OPEX, maintenance, monitoring, training/audit and biomass-related operating costs. Teams may propose savings/productivity offsets but must quantify assumptions.</t>
  </si>
  <si>
    <t>P&amp;L constraint - Year 1 (2027)</t>
  </si>
  <si>
    <t>Net Profit Margin must be no worse than -10%.</t>
  </si>
  <si>
    <t>P&amp;L constraint - Year 2 (2028)</t>
  </si>
  <si>
    <t>Net Profit Margin must be no worse than -8%.</t>
  </si>
  <si>
    <t>P&amp;L constraint - Year 3 (2029)</t>
  </si>
  <si>
    <t>Net Profit must be positive; Net Profit Margin &gt; 0%.</t>
  </si>
  <si>
    <t>P&amp;L constraint - Years 4-5 (2030–2031)</t>
  </si>
  <si>
    <t>Business must remain profitable while completing the ESG roadmap.</t>
  </si>
  <si>
    <t>Commercial data rule</t>
  </si>
  <si>
    <t>2027–2029 ESG forecast is POTENTIAL ORDER visibility, not guaranteed sales. Teams must explain what share can realistically be converted based on ESG milestones, capacity and execution risk.</t>
  </si>
  <si>
    <t>2030-2031 rule</t>
  </si>
  <si>
    <t>No customer forecast is provided. Teams must create and justify their own volume assumptions for Years 4-5 rather than mechanically extending the 2027-2029 growth rate.</t>
  </si>
  <si>
    <t>Required decision</t>
  </si>
  <si>
    <t>Recommend annual CAPEX phasing, commissioning schedule, depreciation, OPEX plan and commercial ramp-up that satisfy the P&amp;L constraints and complete the 5-year ESG roadmap.</t>
  </si>
  <si>
    <t>D. TEAM WORKING TEMPLATE - 5-YEAR P&amp;L &amp; INVESTMENT ROADMAP</t>
  </si>
  <si>
    <t>Potential order volume (pcs)</t>
  </si>
  <si>
    <t>Simple weighted sum: fully compensatory, a large gain on one sub-criterion can offset a zero elsewhere.</t>
  </si>
  <si>
    <t>Sales conversion rate (%)</t>
  </si>
  <si>
    <t>Recommended option (highest TOPSIS CC among eligible options)</t>
  </si>
  <si>
    <t>Helpers: VIKOR S and R, and eligible-only values used to pick the winners</t>
  </si>
  <si>
    <t>VIKOR S = Σ w_j (1 − r_ij)</t>
  </si>
  <si>
    <t>VIKOR R = max w_j (1 − r_ij)</t>
  </si>
  <si>
    <t>Weighted avg. EXW price (USD/pc)</t>
  </si>
  <si>
    <t>TOPSIS CC, eligible only (−1 if not)</t>
  </si>
  <si>
    <t>VIKOR Q, eligible only (9 if not)</t>
  </si>
  <si>
    <t>SAW, eligible only (−1 if not)</t>
  </si>
  <si>
    <t>Option engine: year-by-year results, one small table per metric (rows = options)</t>
  </si>
  <si>
    <t>Base manufacturing COGS/pc (USD)</t>
  </si>
  <si>
    <t>Base manufacturing COGS (USD)</t>
  </si>
  <si>
    <t>CAPEX spend (USD)</t>
  </si>
  <si>
    <t>Year parameters</t>
  </si>
  <si>
    <t>Calendar year</t>
  </si>
  <si>
    <t>Cumulative CAPEX completion (%)</t>
  </si>
  <si>
    <t>Case NPM floor (Task 3)</t>
  </si>
  <si>
    <t>Test applied (Task 3)</t>
  </si>
  <si>
    <t>Depreciation expense (USD)</t>
  </si>
  <si>
    <t>Incremental ESG OPEX (USD)</t>
  </si>
  <si>
    <t>Other SG&amp;A/commercial cost (USD)</t>
  </si>
  <si>
    <t>EBIT (USD)</t>
  </si>
  <si>
    <t>Interest &amp; tax/other (USD)</t>
  </si>
  <si>
    <t>Net Profit (USD)</t>
  </si>
  <si>
    <t>Net Profit Margin (%)</t>
  </si>
  <si>
    <t>P&amp;L constraint</t>
  </si>
  <si>
    <t>≥ -10%</t>
  </si>
  <si>
    <t>≥ -8%</t>
  </si>
  <si>
    <t>&gt; 0%</t>
  </si>
  <si>
    <t>E. REQUIRED ACTION PLAN &amp; OUTCOME</t>
  </si>
  <si>
    <t xml:space="preserve">Build a 5-year ESG investment roadmap (2027–2031), showing the CAPEX tranche, the commissioning milestone for each item, and the cumulative ESG completion (%) over time. Calculate annual depreciation by CAPEX tranche using the case's 5-year straight-line rule. </t>
  </si>
  <si>
    <t>Propose a justified sales conversion rate to translate 2027-2029 potential orders into realized sales, and create independent, justified volume forecasts for 2030-2031.</t>
  </si>
  <si>
    <t>Build the annual P&amp;L for all five years and prove compliance with the profitability constraints in every year.</t>
  </si>
  <si>
    <t>Compare the ESG pathway with the Traditional/No-ESG sales trajectory and quantify the revenue at risk from delaying investment.</t>
  </si>
  <si>
    <t>Recommend the investment phasing that best balances Growth, Profitability, Cash Flow, ESG Compliance and Execution Risk.</t>
  </si>
  <si>
    <t>LSC BUYER REQUIREMENT - TEXIN EMISSION REDUCTION TARGET 2026–2031</t>
  </si>
  <si>
    <t>Case-study buyer requirement: LSC requires TEXIN to demonstrate a measurable annual reduction in thermal-energy GHG emissions. 2026 is the coal-based baseline. Targets below are imposed case assumptions designed to align with the 5-year ESG CAPEX/OPEX roadmap; teams must determine the investment phasing and operating mix needed to comply.</t>
  </si>
  <si>
    <t>A. BUYER-IMPOSED ANNUAL EMISSION TARGET</t>
  </si>
  <si>
    <t>Maximum emission index</t>
  </si>
  <si>
    <t>Minimum reduction vs 2026</t>
  </si>
  <si>
    <t>Maximum annual CO2e</t>
  </si>
  <si>
    <t>Maximum CO2e intensity</t>
  </si>
  <si>
    <t>Indicative ESG milestone</t>
  </si>
  <si>
    <t>Buyer compliance gate</t>
  </si>
  <si>
    <t>Commercial consequence if missed</t>
  </si>
  <si>
    <t>Challenge level</t>
  </si>
  <si>
    <t>Coal baseline - measurement &amp; verification</t>
  </si>
  <si>
    <t>Baseline year</t>
  </si>
  <si>
    <t>2026 baseline uses annual fuel CO2e from ESG_CAPEX OPEX.</t>
  </si>
  <si>
    <t>Quick wins + metering; initial biomass co-firing</t>
  </si>
  <si>
    <t>Mandatory annual improvement</t>
  </si>
  <si>
    <t>Corrective action plan; new allocation may be held</t>
  </si>
  <si>
    <t>15% reduction gives TEXIN one year for low-CAPEX actions before heavy conversion.</t>
  </si>
  <si>
    <t>Material biomass conversion; emission-control upgrades commissioned</t>
  </si>
  <si>
    <t>Buyer may freeze incremental order allocation</t>
  </si>
  <si>
    <t>Challenging</t>
  </si>
  <si>
    <t>30% cumulative reduction requires meaningful CAPEX commissioning by Year 2.</t>
  </si>
  <si>
    <t>Min. annual biomass share (cap with 5% buffer)</t>
  </si>
  <si>
    <t>Majority low-carbon thermal energy; stable biomass supply secured</t>
  </si>
  <si>
    <t>Strategic compliance checkpoint</t>
  </si>
  <si>
    <t>Risk of sourcing reallocation to compliant suppliers</t>
  </si>
  <si>
    <t>45% cumulative reduction forces conversion to be operational, not only committed.</t>
  </si>
  <si>
    <t>Advanced conversion + efficiency/heat-recovery optimization</t>
  </si>
  <si>
    <t>Near-target compliance</t>
  </si>
  <si>
    <t>Reduced preferred-supplier status/allocation</t>
  </si>
  <si>
    <t>55% cumulative reduction requires optimization and a high renewable-fuel share.</t>
  </si>
  <si>
    <t>Target operating model: ~78% biomass/22% coal equivalent performance</t>
  </si>
  <si>
    <t>Full roadmap target</t>
  </si>
  <si>
    <t>Roadmap failure; material risk of order reallocation</t>
  </si>
  <si>
    <t>Stretch/target state</t>
  </si>
  <si>
    <t>64% cumulative reduction aligns with the existing workbook Carbon Reduction target.</t>
  </si>
  <si>
    <t>B. KPI DEFINITIONS &amp; CASE RULES</t>
  </si>
  <si>
    <t>KPI/Rule</t>
  </si>
  <si>
    <t>Definition</t>
  </si>
  <si>
    <t>Required evidence</t>
  </si>
  <si>
    <t>Case-study interpretation</t>
  </si>
  <si>
    <t>The baseline for 2026 is set at 100. Each year's actual index = Actual thermal-energy CO2e/2026 baseline CO2e × 100.</t>
  </si>
  <si>
    <t>Fuel consumption, emission factors, verified annual CO2e</t>
  </si>
  <si>
    <t>Actual index must be at or below the buyer's maximum target.</t>
  </si>
  <si>
    <t>GHG Reduction vs Baseline</t>
  </si>
  <si>
    <t>1 - Actual annual CO2e/2026 baseline CO2e.</t>
  </si>
  <si>
    <t>Annual CO2e calculation and fuel mix</t>
  </si>
  <si>
    <t>Reduction must be at or above the minimum target.</t>
  </si>
  <si>
    <t>Scope boundary</t>
  </si>
  <si>
    <t>Thermal energy used for TEXIN production: coal + biomass fuel combustion in this case.</t>
  </si>
  <si>
    <t>Fuel purchase/consumption records and approved emission factors</t>
  </si>
  <si>
    <t>Keep the boundary consistent with the existing CO2/ESG model.</t>
  </si>
  <si>
    <t>Annual compliance</t>
  </si>
  <si>
    <t>Measured at full-year level; teams may phase commissioning during the year but must still meet the year-end annual target.</t>
  </si>
  <si>
    <t>Commissioning dates + annualized fuel mix</t>
  </si>
  <si>
    <t>A CAPEX commitment alone does not count; equipment must deliver emission reduction.</t>
  </si>
  <si>
    <t>Buyer review</t>
  </si>
  <si>
    <t>Annual ESG review; 2029 is a strategic checkpoint and 2031 is the full-roadmap gate.</t>
  </si>
  <si>
    <t>Auditable KPI pack</t>
  </si>
  <si>
    <t>Commercial order allocation can be linked to demonstrated compliance.</t>
  </si>
  <si>
    <t>Team flexibility</t>
  </si>
  <si>
    <t>Teams may choose CAPEX phasing, fuel mix, efficiency projects and quantified offsets within the case assumptions.</t>
  </si>
  <si>
    <t>5-year roadmap + P&amp;L + CO2 bridge</t>
  </si>
  <si>
    <t>Solutions must satisfy both emission targets and the P&amp;L constraints.</t>
  </si>
  <si>
    <t>C. TARGET TRAJECTORY - DESIGN RATIONALE</t>
  </si>
  <si>
    <t>Phase</t>
  </si>
  <si>
    <t>Years</t>
  </si>
  <si>
    <t>Target logic</t>
  </si>
  <si>
    <t>Phase 0 - Baseline</t>
  </si>
  <si>
    <t>Establish verified coal baseline.</t>
  </si>
  <si>
    <t>Phase 1 - Quick wins</t>
  </si>
  <si>
    <t>15% reduction vs baseline.</t>
  </si>
  <si>
    <t>Phase 2 - Conversion</t>
  </si>
  <si>
    <t>2028–2029</t>
  </si>
  <si>
    <t>30% then 45% cumulative reduction.</t>
  </si>
  <si>
    <t>Phase 3 - Optimization</t>
  </si>
  <si>
    <t>55% cumulative reduction.</t>
  </si>
  <si>
    <t>Phase 4 - Target state</t>
  </si>
  <si>
    <t>64% cumulative reduction/Emission Index 36.</t>
  </si>
  <si>
    <t>Annual CO2e, thermal energy, in-boundary (t)</t>
  </si>
  <si>
    <t>Carbon credits bought (tCO2e)</t>
  </si>
  <si>
    <t>Net CO2e after counted credits (t)</t>
  </si>
  <si>
    <t>Buyer compliance, net of counted credits (absolute and intensity)</t>
  </si>
  <si>
    <t>Headroom below the absolute cap, net of counted credits</t>
  </si>
  <si>
    <t>Credits counted toward the cap (≤ offset limit × cap)</t>
  </si>
  <si>
    <t>Carbon credit cost (USD)</t>
  </si>
  <si>
    <t>Biomass fuel burned (t)</t>
  </si>
  <si>
    <t>Variable incremental ESG OPEX (USD)</t>
  </si>
  <si>
    <t>ESG CAPEX in service (USD)</t>
  </si>
  <si>
    <t>Fixed incremental ESG OPEX (USD)</t>
  </si>
  <si>
    <t>Total incremental ESG OPEX, excl. credits (USD)</t>
  </si>
  <si>
    <t>Depreciation of ESG CAPEX (USD)</t>
  </si>
  <si>
    <t>ESG CAPEX paid (USD)</t>
  </si>
  <si>
    <t>SG&amp;A (USD)</t>
  </si>
  <si>
    <t>EBIT, after carbon credit cost (USD)</t>
  </si>
  <si>
    <t>Net profit (USD)</t>
  </si>
  <si>
    <t>Net profit margin</t>
  </si>
  <si>
    <t>NPM constraint met?</t>
  </si>
  <si>
    <t>Net working capital (USD)</t>
  </si>
  <si>
    <t>Free cash flow (USD)</t>
  </si>
  <si>
    <t>Check: Option A equals Task 3 (net profit, ESG OPEX)</t>
  </si>
  <si>
    <t>Check: net CO2e of A+H equals the A+ path (all A+H credits count)</t>
  </si>
  <si>
    <t>Stress test of Option A+H (recommended) against the risk register</t>
  </si>
  <si>
    <t>Stress parameter</t>
  </si>
  <si>
    <t>Source</t>
  </si>
  <si>
    <t>S1. Rice husk pellet price increase</t>
  </si>
  <si>
    <t>R03: 'price increases 28%'.</t>
  </si>
  <si>
    <t>S2. Boiler efficiency loss on biomass</t>
  </si>
  <si>
    <t>R04: 'boiler efficiency −8%'.</t>
  </si>
  <si>
    <t>S3. VND appreciation vs USD on ESG OPEX</t>
  </si>
  <si>
    <t>R13: USD/VND ±5%; adverse side.</t>
  </si>
  <si>
    <t>S4. Share of the ESG premium LSC refuses</t>
  </si>
  <si>
    <t>Team stress: base EXW only.</t>
  </si>
  <si>
    <t>S5. Sales volume shortfall vs plan</t>
  </si>
  <si>
    <t>Team stress; ≈ 2029 orders at risk (11.7%).</t>
  </si>
  <si>
    <t>S6. Carbon credit price, removal grade</t>
  </si>
  <si>
    <t>USD/t</t>
  </si>
  <si>
    <t>ARR mid-range EUR 36/t (Senken, Sep 2026) × 1.115 USD/EUR (S&amp;P Global, 5 Oct 2026).</t>
  </si>
  <si>
    <t>Net profit margin under stress (A+H)</t>
  </si>
  <si>
    <t>Lowest</t>
  </si>
  <si>
    <t>Effect on A+H (USD)</t>
  </si>
  <si>
    <t>Base (A+H)</t>
  </si>
  <si>
    <t>Base EBIT</t>
  </si>
  <si>
    <t>S1 rice husk +28%</t>
  </si>
  <si>
    <t>Base revenue</t>
  </si>
  <si>
    <t>S2 efficiency −8%</t>
  </si>
  <si>
    <t>ΔEBIT S1: rice husk price</t>
  </si>
  <si>
    <t>S3 VND +5%</t>
  </si>
  <si>
    <t>ΔEBIT S2: boiler efficiency</t>
  </si>
  <si>
    <t>S4 no ESG premium</t>
  </si>
  <si>
    <t>ΔEBIT S3: stronger VND</t>
  </si>
  <si>
    <t>S5 volume −10%</t>
  </si>
  <si>
    <t>ΔRevenue S4: premium refused</t>
  </si>
  <si>
    <t>S6 credits at removal price</t>
  </si>
  <si>
    <t>ΔEBIT S4</t>
  </si>
  <si>
    <t>All six shocks together</t>
  </si>
  <si>
    <t>ΔRevenue S5: volume shortfall</t>
  </si>
  <si>
    <t>Case NPM floor</t>
  </si>
  <si>
    <t>ΔEBIT S5</t>
  </si>
  <si>
    <t>Combined stress still meets the floor?</t>
  </si>
  <si>
    <t>ΔEBIT S6: credit price</t>
  </si>
  <si>
    <t>EXW price cut that would bring A+H NPM down to the floor</t>
  </si>
  <si>
    <t>ΔEBIT combined S1-S6</t>
  </si>
  <si>
    <t>ΔRevenue combined</t>
  </si>
  <si>
    <t>Recommendation</t>
  </si>
  <si>
    <t>Implementation KPIs and decision triggers</t>
  </si>
  <si>
    <t>KPI (risk)</t>
  </si>
  <si>
    <t>Target</t>
  </si>
  <si>
    <t>Trigger → action</t>
  </si>
  <si>
    <t>Owner (risk register)</t>
  </si>
  <si>
    <t>Commissioning of Tranche 1 (R14)</t>
  </si>
  <si>
    <t>Performance test passed by 31 Mar 2027</t>
  </si>
  <si>
    <t>Slip &gt; 4 weeks → fast-track spares and extra commissioning crew; Task 1 shows an 8-week slip still meets the 2027 cap at a 45% mix.</t>
  </si>
  <si>
    <t>Annual CO2e vs buyer cap</t>
  </si>
  <si>
    <t>≥5% below the cap every year</t>
  </si>
  <si>
    <t>Monthly run-rate above 95% of the pro-rata cap → raise biomass by one 5% step.</t>
  </si>
  <si>
    <t>ESG + Utilities</t>
  </si>
  <si>
    <t>Biomass supplier OTIF (R01)</t>
  </si>
  <si>
    <t>≥95%</t>
  </si>
  <si>
    <t>Below 85% (R01 clue) → call off the third approved supplier and rebuild the 10-14 day covered buffer (ESG_CAPEX OPEX J19).</t>
  </si>
  <si>
    <t>Fuel moisture at receiving (R02)</t>
  </si>
  <si>
    <t>≤10%</t>
  </si>
  <si>
    <t>Above 12% → reject or blend with wood pellet; contract specs with a test-based rejection rule.</t>
  </si>
  <si>
    <t>Rice husk price (R03)</t>
  </si>
  <si>
    <t>Within ±10% of 1.95M VND/t</t>
  </si>
  <si>
    <t>Above +15% → apply the price-index clause; the stress test shows +28% still passes every floor.</t>
  </si>
  <si>
    <t>Boiler efficiency (R04)</t>
  </si>
  <si>
    <t>≥92% of the performance test</t>
  </si>
  <si>
    <t>−8% (R04 clue) → cleaning cycle and a higher wood-pellet share (ash 1-5% vs 8-15%).</t>
  </si>
  <si>
    <t>NPM headroom vs case floor</t>
  </si>
  <si>
    <t>≥5 percentage points</t>
  </si>
  <si>
    <t>Below 3 points → review premium, cost plan and the credit plan.</t>
  </si>
  <si>
    <t>Fuel traceability (R06, R07)</t>
  </si>
  <si>
    <t>100% of biomass lots with chain-of-custody</t>
  </si>
  <si>
    <t>Missing evidence → lot excluded from biomass CO2e claims; supplier audit.</t>
  </si>
  <si>
    <t>Carbon credit price, quality and offset share (A+H)</t>
  </si>
  <si>
    <t>Above break-even, rating below A, or LSC rejects offsets → switch to the A+ step-up (rule 7); credits reported apart from in-boundary CO2e.</t>
  </si>
  <si>
    <t>Phasing alternatives</t>
  </si>
  <si>
    <t>Only the timing of the firing core can change, and every delay or even split breaches the 2027-2028 caps (test above; Task 4). The four options compared therefore all front-load the CAPEX and differ only in how 2030-2031 is run.</t>
  </si>
  <si>
    <t>ESG_CAPEX OPEX J17 (retrofit package); Task 1 roadmap; Task 4 delay engine.</t>
  </si>
  <si>
    <t>Carbon credit options (A+C, A+H)</t>
  </si>
  <si>
    <t>Same engine as A+ for sales, price, COGS, SG&amp;A, tax and working capital. Biomass share = A + (A+ − A) × (1 − credit share). Credits bought = in-boundary CO2e − A+ CO2e each year; cost = credits × price, expensed and deductible in the year.</t>
  </si>
  <si>
    <t>Emission Target B20 (quantified offsets); team estimate; price sources in the input block.</t>
  </si>
  <si>
    <t>Offset limit</t>
  </si>
  <si>
    <t>Credits count toward the LSC cap only up to 30% of the annual cap; the excess is bought but not counted. Applied by analogy with the Vietnamese rule for covered facilities, because the case gives no LSC offset policy.</t>
  </si>
  <si>
    <t>Decree 119/2025/ND-CP via VnEconomy (Feb 2026); Emission Target B20.</t>
  </si>
  <si>
    <t>Tasks 1-4 and every in-boundary row here keep the Emission Target B17 boundary (coal + biomass combustion). Credits are netted only in this Task 5 strategy view and are always shown beside the in-boundary result, never inside it.</t>
  </si>
  <si>
    <t>Emission Target B17, F17, F18; Supply Chain Risks R07.</t>
  </si>
  <si>
    <t>Mix step-up (A+)</t>
  </si>
  <si>
    <t>Biomass share raised to the lowest 5% step keeping CO2e ≥5% below both caps at the held volume; volume capped at the 2029 peak boiler load.</t>
  </si>
  <si>
    <t>Task 1 buffer and step inputs; Task 2 (boiler load); ESG_CAPEX OPEX A2 ('full biomass-capable thermal-energy system').</t>
  </si>
  <si>
    <t>Weighting and ranking</t>
  </si>
  <si>
    <t>Nine sub-criteria under the five Requirement 5 criteria. Weights are objective (CRITIC: contrast σ × conflict Σ(1 − r)), computed on the min-max normalised 4 × 9 matrix of all four options, so no team judgement enters the weights. Ranking by TOPSIS on the weighted matrix; VIKOR (v = 0.5) and SAW as cross-checks; eligibility gates applied after ranking.</t>
  </si>
  <si>
    <t>Diakoulaki et al. (1995) for CRITIC; Hwang and Yoon (1981) for TOPSIS; Opricovic (1998) for VIKOR; Requirement 5.</t>
  </si>
  <si>
    <t>Stress sizes and method</t>
  </si>
  <si>
    <t>Risk-register clues where they exist (+28% rice husk, −8% efficiency, ±5% FX); premium refusal, −10% volume and removal-grade credit prices are team stress cases. Shocks applied one at a time and together, with no management response or price pass-through.</t>
  </si>
  <si>
    <t>Supply Chain Risks C15, H16, C25; EXW Price F6:F10; Task 2 (orders at risk); carbon price sources above.</t>
  </si>
  <si>
    <t>Sources: case workbook ESG_CAPEX OPEX (A2, J17, J19), Emission Target (A-B), Supply Chain Risks (R01-R14), EXW Price, Sales Forecast &amp; Case 2A KPI; Tasks 1-4 of this workbook; CRITIC (Diakoulaki et al., 1995), TOPSIS (Hwang and Yoon, 1981), VIKOR (Opricovic, 1998); carbon prices from Senken (Sep 2026), Regreener (MSCI and Allied Offsets data) and S&amp;P Global (EUA and EUR/USD, 5 Oct 2026); offset limit from VnEconomy (Feb 2026).</t>
  </si>
</sst>
</file>

<file path=xl/styles.xml><?xml version="1.0" encoding="utf-8"?>
<styleSheet xmlns="http://schemas.openxmlformats.org/spreadsheetml/2006/main" xmlns:x14ac="http://schemas.microsoft.com/office/spreadsheetml/2009/9/ac" xmlns:mc="http://schemas.openxmlformats.org/markup-compatibility/2006">
  <numFmts count="29">
    <numFmt numFmtId="164" formatCode="0.0"/>
    <numFmt numFmtId="165" formatCode="#,##0.0"/>
    <numFmt numFmtId="166" formatCode="0.0%"/>
    <numFmt numFmtId="167" formatCode="0.0%;[Red]\(0.0%\);\-"/>
    <numFmt numFmtId="168" formatCode="#,##0.00,,&quot;M&quot;;[Red]\(#,##0.00,,&quot;M&quot;\);\-"/>
    <numFmt numFmtId="169" formatCode="0.00&quot;x&quot;"/>
    <numFmt numFmtId="170" formatCode="#,##0;[Red]\(#,##0\);\-"/>
    <numFmt numFmtId="171" formatCode="0.00000"/>
    <numFmt numFmtId="172" formatCode="#,##0.0;[Red]\(#,##0.0\);\-"/>
    <numFmt numFmtId="173" formatCode="#,##0.00;[Red]\(#,##0.00\);\-"/>
    <numFmt numFmtId="174" formatCode="0.00%;[Red]\(0.00%\);\-"/>
    <numFmt numFmtId="175" formatCode="&quot;$&quot;#,##0.00,,&quot;M&quot;;[Red]\(&quot;$&quot;#,##0.00,,&quot;M&quot;\);\-"/>
    <numFmt numFmtId="176" formatCode="&quot;$&quot;#,##0;[Red]\(&quot;$&quot;#,##0\);\-"/>
    <numFmt numFmtId="177" formatCode="dd\ mmm\ yyyy"/>
    <numFmt numFmtId="178" formatCode="&quot;$&quot;#,##0.000;[Red]\(&quot;$&quot;#,##0.000\);\-"/>
    <numFmt numFmtId="179" formatCode="dd/MM/yyyy"/>
    <numFmt numFmtId="180" formatCode="&quot;$&quot;#,##0.0,,&quot;M&quot;;[Red]\(&quot;$&quot;#,##0.0,,&quot;M&quot;\);\-"/>
    <numFmt numFmtId="181" formatCode="0.000"/>
    <numFmt numFmtId="182" formatCode="_ * #,##0_ ;_ * \-#,##0_ ;_ * &quot;-&quot;??_ ;_ @_ "/>
    <numFmt numFmtId="183" formatCode="_ * #,##0.00_ ;_ * \-#,##0.00_ ;_ * &quot;-&quot;??_ ;_ @_ "/>
    <numFmt numFmtId="184" formatCode="0.00_);[Red]\(0.00\)"/>
    <numFmt numFmtId="185" formatCode="&quot;$&quot;#,##0.00;[Red]\(&quot;$&quot;#,##0.00\);\-"/>
    <numFmt numFmtId="186" formatCode="_ * #,##0.00_ ;_ * \-#,##0.00_ ;_ * &quot;-&quot;??.0_ ;_ @_ "/>
    <numFmt numFmtId="187" formatCode="&quot;$&quot;0.00"/>
    <numFmt numFmtId="188" formatCode="&quot;$&quot;0.000;[Red]\(&quot;$&quot;0.000\);\-"/>
    <numFmt numFmtId="189" formatCode="0.0000"/>
    <numFmt numFmtId="190" formatCode="&quot;$&quot;0.000"/>
    <numFmt numFmtId="191" formatCode="&quot;$&quot;#,##0.0;[Red]\(&quot;$&quot;#,##0.0\);\-"/>
    <numFmt numFmtId="192" formatCode="&quot;$&quot;#,##0"/>
  </numFmts>
  <fonts count="38">
    <font>
      <sz val="11.0"/>
      <color theme="1"/>
      <name val="Calibri"/>
      <scheme val="minor"/>
    </font>
    <font>
      <b/>
      <sz val="11.0"/>
      <color theme="1"/>
      <name val="Cambria"/>
    </font>
    <font>
      <sz val="11.0"/>
      <color theme="1"/>
      <name val="Cambria"/>
    </font>
    <font>
      <b/>
      <sz val="16.0"/>
      <color rgb="FFFFFFFF"/>
      <name val="Cambria"/>
    </font>
    <font/>
    <font>
      <b/>
      <sz val="11.0"/>
      <color rgb="FFFFFFFF"/>
      <name val="Cambria"/>
    </font>
    <font>
      <sz val="11.0"/>
      <color theme="1"/>
      <name val="Calibri"/>
    </font>
    <font>
      <sz val="11.0"/>
      <color rgb="FF000000"/>
      <name val="Cambria"/>
    </font>
    <font>
      <i/>
      <sz val="10.0"/>
      <color theme="1"/>
      <name val="Cambria"/>
    </font>
    <font>
      <b/>
      <sz val="9.0"/>
      <color rgb="FFFFFFFF"/>
      <name val="Cambria"/>
    </font>
    <font>
      <b/>
      <sz val="18.0"/>
      <color rgb="FF1F3864"/>
      <name val="Cambria"/>
    </font>
    <font>
      <i/>
      <sz val="9.0"/>
      <color theme="1"/>
      <name val="Cambria"/>
    </font>
    <font>
      <b/>
      <sz val="12.0"/>
      <color rgb="FFFFFFFF"/>
      <name val="Cambria"/>
    </font>
    <font>
      <b/>
      <sz val="11.0"/>
      <color rgb="FF1E3D33"/>
      <name val="Cambria"/>
    </font>
    <font>
      <sz val="11.0"/>
      <color rgb="FF38761D"/>
      <name val="Cambria"/>
    </font>
    <font>
      <i/>
      <sz val="9.0"/>
      <color rgb="FF595959"/>
      <name val="Cambria"/>
    </font>
    <font>
      <sz val="10.0"/>
      <color rgb="FF000000"/>
      <name val="Cambria"/>
    </font>
    <font>
      <sz val="11.0"/>
      <color rgb="FF0B5394"/>
      <name val="Cambria"/>
    </font>
    <font>
      <b/>
      <sz val="11.0"/>
      <color rgb="FF000000"/>
      <name val="Cambria"/>
    </font>
    <font>
      <sz val="11.0"/>
      <color rgb="FF808080"/>
      <name val="Cambria"/>
    </font>
    <font>
      <b/>
      <sz val="11.0"/>
      <color rgb="FF1E7B34"/>
      <name val="Cambria"/>
    </font>
    <font>
      <b/>
      <sz val="11.0"/>
      <color rgb="FF1F3864"/>
      <name val="Cambria"/>
    </font>
    <font>
      <sz val="11.0"/>
      <color rgb="FF404040"/>
      <name val="Cambria"/>
    </font>
    <font>
      <b/>
      <sz val="9.0"/>
      <color rgb="FF000000"/>
      <name val="Cambria"/>
    </font>
    <font>
      <i/>
      <sz val="11.0"/>
      <color rgb="FF404040"/>
      <name val="Cambria"/>
    </font>
    <font>
      <i/>
      <sz val="10.0"/>
      <color rgb="FF404040"/>
      <name val="Cambria"/>
    </font>
    <font>
      <sz val="9.0"/>
      <color rgb="FF000000"/>
      <name val="Cambria"/>
    </font>
    <font>
      <sz val="9.0"/>
      <color rgb="FF38761D"/>
      <name val="Cambria"/>
    </font>
    <font>
      <b/>
      <u/>
      <sz val="11.0"/>
      <color rgb="FF0563C1"/>
      <name val="Cambria"/>
    </font>
    <font>
      <u/>
      <sz val="10.0"/>
      <color rgb="FF0563C1"/>
      <name val="Cambria"/>
    </font>
    <font>
      <sz val="9.0"/>
      <color rgb="FF595959"/>
      <name val="Cambria"/>
    </font>
    <font>
      <i/>
      <u/>
      <sz val="9.0"/>
      <color rgb="FF0563C1"/>
      <name val="Cambria"/>
    </font>
    <font>
      <i/>
      <u/>
      <sz val="9.0"/>
      <color rgb="FF0000FF"/>
      <name val="Cambria"/>
    </font>
    <font>
      <b/>
      <sz val="9.0"/>
      <color rgb="FF1E7B34"/>
      <name val="Cambria"/>
    </font>
    <font>
      <sz val="11.0"/>
      <color rgb="FF0000FF"/>
      <name val="Cambria"/>
    </font>
    <font>
      <b/>
      <sz val="11.0"/>
      <color rgb="FF0000FF"/>
      <name val="Cambria"/>
    </font>
    <font>
      <sz val="11.0"/>
      <color rgb="FF008000"/>
      <name val="Cambria"/>
    </font>
    <font>
      <b/>
      <sz val="14.0"/>
      <color rgb="FFFFFFFF"/>
      <name val="Cambria"/>
    </font>
  </fonts>
  <fills count="28">
    <fill>
      <patternFill patternType="none"/>
    </fill>
    <fill>
      <patternFill patternType="lightGray"/>
    </fill>
    <fill>
      <patternFill patternType="solid">
        <fgColor rgb="FF1F4E78"/>
        <bgColor rgb="FF1F4E78"/>
      </patternFill>
    </fill>
    <fill>
      <patternFill patternType="solid">
        <fgColor rgb="FF5B9BD5"/>
        <bgColor rgb="FF5B9BD5"/>
      </patternFill>
    </fill>
    <fill>
      <patternFill patternType="solid">
        <fgColor theme="5"/>
        <bgColor theme="5"/>
      </patternFill>
    </fill>
    <fill>
      <patternFill patternType="solid">
        <fgColor rgb="FFF1C232"/>
        <bgColor rgb="FFF1C232"/>
      </patternFill>
    </fill>
    <fill>
      <patternFill patternType="solid">
        <fgColor rgb="FF70AD47"/>
        <bgColor rgb="FF70AD47"/>
      </patternFill>
    </fill>
    <fill>
      <patternFill patternType="solid">
        <fgColor rgb="FFED7D31"/>
        <bgColor rgb="FFED7D31"/>
      </patternFill>
    </fill>
    <fill>
      <patternFill patternType="solid">
        <fgColor rgb="FF4472C4"/>
        <bgColor rgb="FF4472C4"/>
      </patternFill>
    </fill>
    <fill>
      <patternFill patternType="solid">
        <fgColor rgb="FFFFFFFF"/>
        <bgColor rgb="FFFFFFFF"/>
      </patternFill>
    </fill>
    <fill>
      <patternFill patternType="solid">
        <fgColor rgb="FFFFFF00"/>
        <bgColor rgb="FFFFFF00"/>
      </patternFill>
    </fill>
    <fill>
      <patternFill patternType="solid">
        <fgColor rgb="FF1F3864"/>
        <bgColor rgb="FF1F3864"/>
      </patternFill>
    </fill>
    <fill>
      <patternFill patternType="solid">
        <fgColor rgb="FF356854"/>
        <bgColor rgb="FF356854"/>
      </patternFill>
    </fill>
    <fill>
      <patternFill patternType="solid">
        <fgColor rgb="FFF0F5F2"/>
        <bgColor rgb="FFF0F5F2"/>
      </patternFill>
    </fill>
    <fill>
      <patternFill patternType="solid">
        <fgColor rgb="FFDCE9E3"/>
        <bgColor rgb="FFDCE9E3"/>
      </patternFill>
    </fill>
    <fill>
      <patternFill patternType="solid">
        <fgColor rgb="FFF7F9F8"/>
        <bgColor rgb="FFF7F9F8"/>
      </patternFill>
    </fill>
    <fill>
      <patternFill patternType="solid">
        <fgColor rgb="FFFFF2CC"/>
        <bgColor rgb="FFFFF2CC"/>
      </patternFill>
    </fill>
    <fill>
      <patternFill patternType="solid">
        <fgColor rgb="FFE2EFDA"/>
        <bgColor rgb="FFE2EFDA"/>
      </patternFill>
    </fill>
    <fill>
      <patternFill patternType="solid">
        <fgColor rgb="FFEEF3F8"/>
        <bgColor rgb="FFEEF3F8"/>
      </patternFill>
    </fill>
    <fill>
      <patternFill patternType="solid">
        <fgColor rgb="FFC6E0B4"/>
        <bgColor rgb="FFC6E0B4"/>
      </patternFill>
    </fill>
    <fill>
      <patternFill patternType="solid">
        <fgColor rgb="FFF8CBAD"/>
        <bgColor rgb="FFF8CBAD"/>
      </patternFill>
    </fill>
    <fill>
      <patternFill patternType="solid">
        <fgColor rgb="FF17365D"/>
        <bgColor rgb="FF17365D"/>
      </patternFill>
    </fill>
    <fill>
      <patternFill patternType="solid">
        <fgColor rgb="FF2F75B5"/>
        <bgColor rgb="FF2F75B5"/>
      </patternFill>
    </fill>
    <fill>
      <patternFill patternType="solid">
        <fgColor rgb="FFD9EAF7"/>
        <bgColor rgb="FFD9EAF7"/>
      </patternFill>
    </fill>
    <fill>
      <patternFill patternType="solid">
        <fgColor rgb="FFE2F0D9"/>
        <bgColor rgb="FFE2F0D9"/>
      </patternFill>
    </fill>
    <fill>
      <patternFill patternType="solid">
        <fgColor rgb="FFEAF2F8"/>
        <bgColor rgb="FFEAF2F8"/>
      </patternFill>
    </fill>
    <fill>
      <patternFill patternType="solid">
        <fgColor theme="0"/>
        <bgColor theme="0"/>
      </patternFill>
    </fill>
    <fill>
      <patternFill patternType="solid">
        <fgColor rgb="FFFCE4D6"/>
        <bgColor rgb="FFFCE4D6"/>
      </patternFill>
    </fill>
  </fills>
  <borders count="39">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356854"/>
      </left>
      <top style="thin">
        <color rgb="FF356854"/>
      </top>
      <bottom style="thin">
        <color rgb="FF356854"/>
      </bottom>
    </border>
    <border>
      <top style="thin">
        <color rgb="FF356854"/>
      </top>
      <bottom style="thin">
        <color rgb="FF356854"/>
      </bottom>
    </border>
    <border>
      <right style="thin">
        <color rgb="FF356854"/>
      </right>
      <top style="thin">
        <color rgb="FF356854"/>
      </top>
      <bottom style="thin">
        <color rgb="FF356854"/>
      </bottom>
    </border>
    <border>
      <left style="thin">
        <color rgb="FF356854"/>
      </left>
      <top style="thin">
        <color rgb="FF356854"/>
      </top>
    </border>
    <border>
      <top style="thin">
        <color rgb="FF356854"/>
      </top>
    </border>
    <border>
      <right style="thin">
        <color rgb="FF356854"/>
      </right>
      <top style="thin">
        <color rgb="FF356854"/>
      </top>
    </border>
    <border>
      <left style="thin">
        <color rgb="FF356854"/>
      </left>
    </border>
    <border>
      <right style="thin">
        <color rgb="FF356854"/>
      </right>
    </border>
    <border>
      <left style="thin">
        <color rgb="FF356854"/>
      </left>
      <bottom style="thin">
        <color rgb="FF356854"/>
      </bottom>
    </border>
    <border>
      <bottom style="thin">
        <color rgb="FF356854"/>
      </bottom>
    </border>
    <border>
      <right style="thin">
        <color rgb="FF356854"/>
      </right>
      <bottom style="thin">
        <color rgb="FF356854"/>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BFBFBF"/>
      </left>
      <right style="thin">
        <color rgb="FFBFBFBF"/>
      </right>
      <top/>
      <bottom style="thin">
        <color rgb="FFBFBFBF"/>
      </bottom>
    </border>
    <border>
      <left style="thin">
        <color rgb="FF356854"/>
      </left>
      <top/>
      <bottom style="thin">
        <color rgb="FF356854"/>
      </bottom>
    </border>
    <border>
      <top/>
      <bottom style="thin">
        <color rgb="FF356854"/>
      </bottom>
    </border>
    <border>
      <right style="thin">
        <color rgb="FF356854"/>
      </right>
      <top/>
      <bottom style="thin">
        <color rgb="FF356854"/>
      </bottom>
    </border>
    <border>
      <left style="thin">
        <color rgb="FFBFBFBF"/>
      </left>
      <top style="thin">
        <color rgb="FFBFBFBF"/>
      </top>
      <bottom/>
    </border>
    <border>
      <top style="thin">
        <color rgb="FFBFBFBF"/>
      </top>
      <bottom/>
    </border>
    <border>
      <right style="thin">
        <color rgb="FFBFBFBF"/>
      </right>
      <top style="thin">
        <color rgb="FFBFBFBF"/>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11">
    <xf borderId="0" fillId="0" fontId="0" numFmtId="0" xfId="0" applyAlignment="1" applyFont="1">
      <alignment readingOrder="0" shrinkToFit="0" vertical="bottom" wrapText="0"/>
    </xf>
    <xf borderId="1" fillId="0" fontId="1" numFmtId="0" xfId="0" applyBorder="1" applyFont="1"/>
    <xf borderId="0" fillId="0" fontId="2" numFmtId="0" xfId="0" applyFont="1"/>
    <xf borderId="2" fillId="2" fontId="3" numFmtId="0" xfId="0" applyAlignment="1" applyBorder="1" applyFill="1" applyFont="1">
      <alignment horizontal="center" vertical="center"/>
    </xf>
    <xf borderId="3" fillId="0" fontId="4" numFmtId="0" xfId="0" applyBorder="1" applyFont="1"/>
    <xf borderId="1" fillId="0" fontId="2" numFmtId="0" xfId="0" applyBorder="1" applyFont="1"/>
    <xf borderId="4" fillId="0" fontId="4" numFmtId="0" xfId="0" applyBorder="1" applyFont="1"/>
    <xf borderId="0" fillId="0" fontId="2" numFmtId="0" xfId="0" applyAlignment="1" applyFont="1">
      <alignment vertical="center"/>
    </xf>
    <xf borderId="1" fillId="3" fontId="5"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164" xfId="0" applyAlignment="1" applyBorder="1" applyFont="1" applyNumberFormat="1">
      <alignment horizontal="center" shrinkToFit="0" vertical="center" wrapText="1"/>
    </xf>
    <xf borderId="1" fillId="0" fontId="2" numFmtId="165" xfId="0" applyAlignment="1" applyBorder="1" applyFont="1" applyNumberFormat="1">
      <alignment horizontal="center" shrinkToFit="0" vertical="center" wrapText="1"/>
    </xf>
    <xf borderId="1" fillId="0" fontId="2" numFmtId="2" xfId="0" applyAlignment="1" applyBorder="1" applyFont="1" applyNumberFormat="1">
      <alignment horizontal="center" shrinkToFit="0" vertical="center" wrapText="1"/>
    </xf>
    <xf borderId="2" fillId="4" fontId="5" numFmtId="0" xfId="0" applyAlignment="1" applyBorder="1" applyFill="1" applyFont="1">
      <alignment shrinkToFit="0" vertical="center" wrapText="1"/>
    </xf>
    <xf borderId="0" fillId="0" fontId="6" numFmtId="0" xfId="0" applyAlignment="1" applyFont="1">
      <alignment vertical="center"/>
    </xf>
    <xf borderId="1" fillId="0" fontId="1" numFmtId="0" xfId="0" applyAlignment="1" applyBorder="1" applyFont="1">
      <alignment horizontal="center" vertical="center"/>
    </xf>
    <xf borderId="1" fillId="0" fontId="2" numFmtId="0" xfId="0" applyAlignment="1" applyBorder="1" applyFont="1">
      <alignment horizontal="center" vertical="center"/>
    </xf>
    <xf borderId="1" fillId="0" fontId="2" numFmtId="4" xfId="0" applyAlignment="1" applyBorder="1" applyFont="1" applyNumberFormat="1">
      <alignment horizontal="center" vertical="center"/>
    </xf>
    <xf borderId="2" fillId="5" fontId="5" numFmtId="0" xfId="0" applyAlignment="1" applyBorder="1" applyFill="1" applyFont="1">
      <alignment shrinkToFit="0" wrapText="1"/>
    </xf>
    <xf borderId="1" fillId="0" fontId="1" numFmtId="0" xfId="0" applyAlignment="1" applyBorder="1" applyFont="1">
      <alignment horizontal="center"/>
    </xf>
    <xf borderId="1" fillId="0" fontId="2" numFmtId="0" xfId="0" applyAlignment="1" applyBorder="1" applyFont="1">
      <alignment horizontal="center"/>
    </xf>
    <xf borderId="1" fillId="6" fontId="5" numFmtId="0" xfId="0" applyAlignment="1" applyBorder="1" applyFill="1" applyFont="1">
      <alignment shrinkToFit="0" vertical="center" wrapText="1"/>
    </xf>
    <xf borderId="1" fillId="0" fontId="2" numFmtId="0" xfId="0" applyAlignment="1" applyBorder="1" applyFont="1">
      <alignment shrinkToFit="0" vertical="center" wrapText="1"/>
    </xf>
    <xf borderId="1" fillId="7" fontId="5" numFmtId="0" xfId="0" applyAlignment="1" applyBorder="1" applyFill="1" applyFont="1">
      <alignment horizontal="center" shrinkToFit="0" vertical="center" wrapText="1"/>
    </xf>
    <xf borderId="1" fillId="0" fontId="2" numFmtId="3" xfId="0" applyAlignment="1" applyBorder="1" applyFont="1" applyNumberFormat="1">
      <alignment horizontal="center" shrinkToFit="0" vertical="center" wrapText="1"/>
    </xf>
    <xf borderId="1" fillId="0" fontId="2" numFmtId="10" xfId="0" applyAlignment="1" applyBorder="1" applyFont="1" applyNumberFormat="1">
      <alignment horizontal="center" shrinkToFit="0" vertical="center" wrapText="1"/>
    </xf>
    <xf borderId="1" fillId="0" fontId="2" numFmtId="166" xfId="0" applyAlignment="1" applyBorder="1" applyFont="1" applyNumberFormat="1">
      <alignment horizontal="center" shrinkToFit="0" vertical="center" wrapText="1"/>
    </xf>
    <xf borderId="1" fillId="8" fontId="5" numFmtId="0" xfId="0" applyAlignment="1" applyBorder="1" applyFill="1" applyFont="1">
      <alignment horizontal="center" shrinkToFit="0" vertical="center" wrapText="1"/>
    </xf>
    <xf borderId="1" fillId="8" fontId="5" numFmtId="0" xfId="0" applyAlignment="1" applyBorder="1" applyFill="1" applyFont="1">
      <alignment shrinkToFit="0" vertical="center" wrapText="1"/>
    </xf>
    <xf borderId="2" fillId="2" fontId="5" numFmtId="0" xfId="0" applyAlignment="1" applyBorder="1" applyFill="1" applyFont="1">
      <alignment shrinkToFit="0" vertical="center" wrapText="1"/>
    </xf>
    <xf borderId="5" fillId="9" fontId="5" numFmtId="0" xfId="0" applyAlignment="1" applyBorder="1" applyFill="1" applyFont="1">
      <alignment shrinkToFit="0" vertical="center" wrapText="1"/>
    </xf>
    <xf borderId="1" fillId="0" fontId="1" numFmtId="0" xfId="0" applyAlignment="1" applyBorder="1" applyFont="1">
      <alignment shrinkToFit="0" vertical="center" wrapText="1"/>
    </xf>
    <xf borderId="1" fillId="10" fontId="1" numFmtId="0" xfId="0" applyAlignment="1" applyBorder="1" applyFill="1" applyFont="1">
      <alignment shrinkToFit="0" vertical="center" wrapText="1"/>
    </xf>
    <xf borderId="1" fillId="10" fontId="2" numFmtId="0" xfId="0" applyAlignment="1" applyBorder="1" applyFill="1" applyFont="1">
      <alignment shrinkToFit="0" vertical="center" wrapText="1"/>
    </xf>
    <xf borderId="2" fillId="2" fontId="5" numFmtId="0" xfId="0" applyAlignment="1" applyBorder="1" applyFill="1" applyFont="1">
      <alignment vertical="center"/>
    </xf>
    <xf borderId="1" fillId="0" fontId="1" numFmtId="0" xfId="0" applyAlignment="1" applyBorder="1" applyFont="1">
      <alignment vertical="center"/>
    </xf>
    <xf borderId="1" fillId="0" fontId="2" numFmtId="0" xfId="0" applyAlignment="1" applyBorder="1" applyFont="1">
      <alignment vertical="center"/>
    </xf>
    <xf borderId="0" fillId="0" fontId="7" numFmtId="0" xfId="0" applyAlignment="1" applyFont="1">
      <alignment vertical="center"/>
    </xf>
    <xf borderId="6" fillId="11" fontId="3" numFmtId="0" xfId="0" applyAlignment="1" applyBorder="1" applyFill="1" applyFont="1">
      <alignment horizontal="left" vertical="center"/>
    </xf>
    <xf borderId="7" fillId="0" fontId="4" numFmtId="0" xfId="0" applyBorder="1" applyFont="1"/>
    <xf borderId="8" fillId="0" fontId="4" numFmtId="0" xfId="0" applyBorder="1" applyFont="1"/>
    <xf borderId="6" fillId="0" fontId="8" numFmtId="0" xfId="0" applyAlignment="1" applyBorder="1" applyFont="1">
      <alignment shrinkToFit="0" vertical="center" wrapText="1"/>
    </xf>
    <xf borderId="1" fillId="12" fontId="9" numFmtId="0" xfId="0" applyAlignment="1" applyBorder="1" applyFill="1" applyFont="1">
      <alignment horizontal="center" shrinkToFit="0" vertical="center" wrapText="1"/>
    </xf>
    <xf borderId="6" fillId="12" fontId="9" numFmtId="0" xfId="0" applyAlignment="1" applyBorder="1" applyFill="1" applyFont="1">
      <alignment horizontal="center" shrinkToFit="0" vertical="center" wrapText="1"/>
    </xf>
    <xf borderId="1" fillId="13" fontId="10" numFmtId="167" xfId="0" applyAlignment="1" applyBorder="1" applyFill="1" applyFont="1" applyNumberFormat="1">
      <alignment horizontal="center" vertical="center"/>
    </xf>
    <xf borderId="6" fillId="13" fontId="10" numFmtId="168" xfId="0" applyAlignment="1" applyBorder="1" applyFill="1" applyFont="1" applyNumberFormat="1">
      <alignment horizontal="center" vertical="center"/>
    </xf>
    <xf borderId="6" fillId="13" fontId="10" numFmtId="167" xfId="0" applyAlignment="1" applyBorder="1" applyFill="1" applyFont="1" applyNumberFormat="1">
      <alignment horizontal="center" vertical="center"/>
    </xf>
    <xf borderId="6" fillId="13" fontId="10" numFmtId="169" xfId="0" applyAlignment="1" applyBorder="1" applyFill="1" applyFont="1" applyNumberFormat="1">
      <alignment horizontal="center" vertical="center"/>
    </xf>
    <xf borderId="1" fillId="13" fontId="11" numFmtId="0" xfId="0" applyAlignment="1" applyBorder="1" applyFill="1" applyFont="1">
      <alignment horizontal="center" shrinkToFit="0" vertical="center" wrapText="1"/>
    </xf>
    <xf borderId="6" fillId="13" fontId="11" numFmtId="0" xfId="0" applyAlignment="1" applyBorder="1" applyFill="1" applyFont="1">
      <alignment horizontal="center" shrinkToFit="0" vertical="center" wrapText="1"/>
    </xf>
    <xf borderId="6" fillId="12" fontId="12" numFmtId="0" xfId="0" applyAlignment="1" applyBorder="1" applyFill="1" applyFont="1">
      <alignment horizontal="left" vertical="center"/>
    </xf>
    <xf borderId="1" fillId="14" fontId="13" numFmtId="0" xfId="0" applyAlignment="1" applyBorder="1" applyFill="1" applyFont="1">
      <alignment horizontal="center" shrinkToFit="0" vertical="center" wrapText="1"/>
    </xf>
    <xf borderId="6" fillId="14" fontId="13" numFmtId="0" xfId="0" applyAlignment="1" applyBorder="1" applyFill="1" applyFont="1">
      <alignment horizontal="left" shrinkToFit="0" vertical="center" wrapText="1"/>
    </xf>
    <xf borderId="0" fillId="0" fontId="6" numFmtId="0" xfId="0" applyFont="1"/>
    <xf borderId="6" fillId="14" fontId="13" numFmtId="0" xfId="0" applyAlignment="1" applyBorder="1" applyFill="1" applyFont="1">
      <alignment vertical="center"/>
    </xf>
    <xf borderId="1" fillId="0" fontId="7" numFmtId="0" xfId="0" applyAlignment="1" applyBorder="1" applyFont="1">
      <alignment shrinkToFit="0" vertical="center" wrapText="1"/>
    </xf>
    <xf borderId="1" fillId="0" fontId="14" numFmtId="170" xfId="0" applyAlignment="1" applyBorder="1" applyFont="1" applyNumberFormat="1">
      <alignment horizontal="right" vertical="center"/>
    </xf>
    <xf borderId="1" fillId="0" fontId="7" numFmtId="0" xfId="0" applyAlignment="1" applyBorder="1" applyFont="1">
      <alignment horizontal="center" vertical="center"/>
    </xf>
    <xf borderId="6" fillId="0" fontId="15" numFmtId="0" xfId="0" applyAlignment="1" applyBorder="1" applyFont="1">
      <alignment shrinkToFit="0" vertical="center" wrapText="1"/>
    </xf>
    <xf borderId="9" fillId="15" fontId="16" numFmtId="0" xfId="0" applyAlignment="1" applyBorder="1" applyFill="1" applyFont="1">
      <alignment shrinkToFit="0" vertical="top" wrapText="1"/>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 fillId="0" fontId="7" numFmtId="171" xfId="0" applyAlignment="1" applyBorder="1" applyFont="1" applyNumberFormat="1">
      <alignment horizontal="right" vertical="center"/>
    </xf>
    <xf borderId="1" fillId="0" fontId="14" numFmtId="172" xfId="0" applyAlignment="1" applyBorder="1" applyFont="1" applyNumberFormat="1">
      <alignment horizontal="right" vertical="center"/>
    </xf>
    <xf borderId="1" fillId="0" fontId="14" numFmtId="167" xfId="0" applyAlignment="1" applyBorder="1" applyFont="1" applyNumberFormat="1">
      <alignment horizontal="right" vertical="center"/>
    </xf>
    <xf borderId="1" fillId="0" fontId="7" numFmtId="172" xfId="0" applyAlignment="1" applyBorder="1" applyFont="1" applyNumberFormat="1">
      <alignment horizontal="right" vertical="center"/>
    </xf>
    <xf borderId="1" fillId="0" fontId="14" numFmtId="14" xfId="0" applyAlignment="1" applyBorder="1" applyFont="1" applyNumberFormat="1">
      <alignment horizontal="center" vertical="center"/>
    </xf>
    <xf borderId="1" fillId="0" fontId="7" numFmtId="167" xfId="0" applyAlignment="1" applyBorder="1" applyFont="1" applyNumberFormat="1">
      <alignment horizontal="right" vertical="center"/>
    </xf>
    <xf borderId="1" fillId="16" fontId="17" numFmtId="167" xfId="0" applyAlignment="1" applyBorder="1" applyFill="1" applyFont="1" applyNumberFormat="1">
      <alignment horizontal="right" vertical="center"/>
    </xf>
    <xf borderId="1" fillId="0" fontId="14" numFmtId="173" xfId="0" applyAlignment="1" applyBorder="1" applyFont="1" applyNumberFormat="1">
      <alignment horizontal="right" vertical="center"/>
    </xf>
    <xf borderId="1" fillId="0" fontId="18" numFmtId="0" xfId="0" applyAlignment="1" applyBorder="1" applyFont="1">
      <alignment shrinkToFit="0" vertical="center" wrapText="1"/>
    </xf>
    <xf borderId="1" fillId="0" fontId="19" numFmtId="0" xfId="0" applyAlignment="1" applyBorder="1" applyFont="1">
      <alignment horizontal="center" vertical="center"/>
    </xf>
    <xf borderId="1" fillId="0" fontId="18" numFmtId="167" xfId="0" applyAlignment="1" applyBorder="1" applyFont="1" applyNumberFormat="1">
      <alignment horizontal="right" vertical="center"/>
    </xf>
    <xf borderId="1" fillId="0" fontId="7" numFmtId="173" xfId="0" applyAlignment="1" applyBorder="1" applyFont="1" applyNumberFormat="1">
      <alignment horizontal="right" vertical="center"/>
    </xf>
    <xf borderId="1" fillId="17" fontId="20" numFmtId="0" xfId="0" applyAlignment="1" applyBorder="1" applyFill="1" applyFont="1">
      <alignment horizontal="center" vertical="center"/>
    </xf>
    <xf borderId="1" fillId="17" fontId="18" numFmtId="0" xfId="0" applyAlignment="1" applyBorder="1" applyFill="1" applyFont="1">
      <alignment shrinkToFit="0" vertical="center" wrapText="1"/>
    </xf>
    <xf borderId="1" fillId="17" fontId="18" numFmtId="170" xfId="0" applyAlignment="1" applyBorder="1" applyFill="1" applyFont="1" applyNumberFormat="1">
      <alignment horizontal="right" vertical="center"/>
    </xf>
    <xf borderId="1" fillId="0" fontId="7" numFmtId="170" xfId="0" applyAlignment="1" applyBorder="1" applyFont="1" applyNumberFormat="1">
      <alignment horizontal="right" vertical="center"/>
    </xf>
    <xf borderId="1" fillId="0" fontId="7" numFmtId="169" xfId="0" applyAlignment="1" applyBorder="1" applyFont="1" applyNumberFormat="1">
      <alignment horizontal="right" vertical="center"/>
    </xf>
    <xf borderId="1" fillId="16" fontId="17" numFmtId="9" xfId="0" applyAlignment="1" applyBorder="1" applyFill="1" applyFont="1" applyNumberFormat="1">
      <alignment horizontal="right" vertical="center"/>
    </xf>
    <xf borderId="15" fillId="14" fontId="13" numFmtId="0" xfId="0" applyAlignment="1" applyBorder="1" applyFill="1" applyFont="1">
      <alignment vertical="center"/>
    </xf>
    <xf borderId="16" fillId="0" fontId="4" numFmtId="0" xfId="0" applyBorder="1" applyFont="1"/>
    <xf borderId="17" fillId="0" fontId="4" numFmtId="0" xfId="0" applyBorder="1" applyFont="1"/>
    <xf borderId="18" fillId="15" fontId="16" numFmtId="0" xfId="0" applyAlignment="1" applyBorder="1" applyFill="1" applyFont="1">
      <alignment shrinkToFit="0" vertical="top" wrapText="1"/>
    </xf>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1" fillId="17" fontId="18" numFmtId="9" xfId="0" applyAlignment="1" applyBorder="1" applyFill="1" applyFont="1" applyNumberFormat="1">
      <alignment horizontal="right" vertical="center"/>
    </xf>
    <xf borderId="1" fillId="17" fontId="18" numFmtId="173" xfId="0" applyAlignment="1" applyBorder="1" applyFill="1" applyFont="1" applyNumberFormat="1">
      <alignment horizontal="right" vertical="center"/>
    </xf>
    <xf borderId="23" fillId="0" fontId="4" numFmtId="0" xfId="0" applyBorder="1" applyFont="1"/>
    <xf borderId="24" fillId="0" fontId="4" numFmtId="0" xfId="0" applyBorder="1" applyFont="1"/>
    <xf borderId="25" fillId="0" fontId="4" numFmtId="0" xfId="0" applyBorder="1" applyFont="1"/>
    <xf borderId="0" fillId="0" fontId="11" numFmtId="0" xfId="0" applyAlignment="1" applyFont="1">
      <alignment shrinkToFit="0" vertical="center" wrapText="1"/>
    </xf>
    <xf borderId="1" fillId="13" fontId="10" numFmtId="0" xfId="0" applyAlignment="1" applyBorder="1" applyFill="1" applyFont="1">
      <alignment horizontal="center" vertical="center"/>
    </xf>
    <xf borderId="6" fillId="13" fontId="10" numFmtId="174" xfId="0" applyAlignment="1" applyBorder="1" applyFill="1" applyFont="1" applyNumberFormat="1">
      <alignment horizontal="center" vertical="center"/>
    </xf>
    <xf borderId="6" fillId="13" fontId="10" numFmtId="175" xfId="0" applyAlignment="1" applyBorder="1" applyFill="1" applyFont="1" applyNumberFormat="1">
      <alignment horizontal="center" vertical="center"/>
    </xf>
    <xf borderId="6" fillId="13" fontId="10" numFmtId="0" xfId="0" applyAlignment="1" applyBorder="1" applyFill="1" applyFont="1">
      <alignment horizontal="center" vertical="center"/>
    </xf>
    <xf borderId="1" fillId="13" fontId="15" numFmtId="0" xfId="0" applyAlignment="1" applyBorder="1" applyFill="1" applyFont="1">
      <alignment horizontal="center" shrinkToFit="0" vertical="center" wrapText="1"/>
    </xf>
    <xf borderId="6" fillId="13" fontId="15" numFmtId="0" xfId="0" applyAlignment="1" applyBorder="1" applyFill="1" applyFont="1">
      <alignment horizontal="center" shrinkToFit="0" vertical="center" wrapText="1"/>
    </xf>
    <xf borderId="2" fillId="12" fontId="12" numFmtId="0" xfId="0" applyAlignment="1" applyBorder="1" applyFill="1" applyFont="1">
      <alignment horizontal="left" vertical="center"/>
    </xf>
    <xf borderId="6" fillId="18" fontId="21" numFmtId="0" xfId="0" applyAlignment="1" applyBorder="1" applyFill="1" applyFont="1">
      <alignment horizontal="left" vertical="center"/>
    </xf>
    <xf borderId="1" fillId="13" fontId="10" numFmtId="176" xfId="0" applyAlignment="1" applyBorder="1" applyFill="1" applyFont="1" applyNumberFormat="1">
      <alignment horizontal="center" vertical="center"/>
    </xf>
    <xf borderId="6" fillId="13" fontId="10" numFmtId="176" xfId="0" applyAlignment="1" applyBorder="1" applyFill="1" applyFont="1" applyNumberFormat="1">
      <alignment horizontal="center" vertical="center"/>
    </xf>
    <xf borderId="6" fillId="13" fontId="10" numFmtId="177" xfId="0" applyAlignment="1" applyBorder="1" applyFill="1" applyFont="1" applyNumberFormat="1">
      <alignment horizontal="center" vertical="center"/>
    </xf>
    <xf borderId="1" fillId="0" fontId="14" numFmtId="178" xfId="0" applyAlignment="1" applyBorder="1" applyFont="1" applyNumberFormat="1">
      <alignment horizontal="right" vertical="center"/>
    </xf>
    <xf borderId="1" fillId="0" fontId="14" numFmtId="176" xfId="0" applyAlignment="1" applyBorder="1" applyFont="1" applyNumberFormat="1">
      <alignment horizontal="right" vertical="center"/>
    </xf>
    <xf borderId="1" fillId="0" fontId="18" numFmtId="176" xfId="0" applyAlignment="1" applyBorder="1" applyFont="1" applyNumberFormat="1">
      <alignment horizontal="right" vertical="center"/>
    </xf>
    <xf borderId="1" fillId="0" fontId="7" numFmtId="176" xfId="0" applyAlignment="1" applyBorder="1" applyFont="1" applyNumberFormat="1">
      <alignment horizontal="right" vertical="center"/>
    </xf>
    <xf borderId="1" fillId="0" fontId="14" numFmtId="0" xfId="0" applyAlignment="1" applyBorder="1" applyFont="1">
      <alignment shrinkToFit="0" vertical="center" wrapText="1"/>
    </xf>
    <xf borderId="1" fillId="0" fontId="14" numFmtId="0" xfId="0" applyAlignment="1" applyBorder="1" applyFont="1">
      <alignment horizontal="center" vertical="center"/>
    </xf>
    <xf borderId="1" fillId="0" fontId="7" numFmtId="174" xfId="0" applyAlignment="1" applyBorder="1" applyFont="1" applyNumberFormat="1">
      <alignment horizontal="right" vertical="center"/>
    </xf>
    <xf borderId="1" fillId="16" fontId="17" numFmtId="179" xfId="0" applyAlignment="1" applyBorder="1" applyFill="1" applyFont="1" applyNumberFormat="1">
      <alignment horizontal="center" vertical="center"/>
    </xf>
    <xf borderId="1" fillId="0" fontId="11" numFmtId="0" xfId="0" applyAlignment="1" applyBorder="1" applyFont="1">
      <alignment shrinkToFit="0" vertical="center" wrapText="1"/>
    </xf>
    <xf borderId="1" fillId="17" fontId="18" numFmtId="176" xfId="0" applyAlignment="1" applyBorder="1" applyFill="1" applyFont="1" applyNumberFormat="1">
      <alignment horizontal="right" vertical="center"/>
    </xf>
    <xf borderId="1" fillId="0" fontId="7" numFmtId="0" xfId="0" applyAlignment="1" applyBorder="1" applyFont="1">
      <alignment vertical="center"/>
    </xf>
    <xf borderId="26" fillId="0" fontId="11" numFmtId="0" xfId="0" applyAlignment="1" applyBorder="1" applyFont="1">
      <alignment shrinkToFit="0" vertical="center" wrapText="1"/>
    </xf>
    <xf borderId="1" fillId="17" fontId="18" numFmtId="167" xfId="0" applyAlignment="1" applyBorder="1" applyFill="1" applyFont="1" applyNumberFormat="1">
      <alignment horizontal="right" vertical="center"/>
    </xf>
    <xf borderId="27" fillId="0" fontId="4" numFmtId="0" xfId="0" applyBorder="1" applyFont="1"/>
    <xf borderId="1" fillId="0" fontId="22" numFmtId="0" xfId="0" applyAlignment="1" applyBorder="1" applyFont="1">
      <alignment shrinkToFit="0" vertical="center" wrapText="1"/>
    </xf>
    <xf borderId="28" fillId="0" fontId="4" numFmtId="0" xfId="0" applyBorder="1" applyFont="1"/>
    <xf borderId="1" fillId="14" fontId="13" numFmtId="0" xfId="0" applyAlignment="1" applyBorder="1" applyFill="1" applyFont="1">
      <alignment horizontal="left" shrinkToFit="0" vertical="center" wrapText="1"/>
    </xf>
    <xf borderId="6" fillId="14" fontId="13" numFmtId="0" xfId="0" applyAlignment="1" applyBorder="1" applyFill="1" applyFont="1">
      <alignment horizontal="center" shrinkToFit="0" vertical="center" wrapText="1"/>
    </xf>
    <xf borderId="26" fillId="14" fontId="13" numFmtId="0" xfId="0" applyAlignment="1" applyBorder="1" applyFill="1" applyFont="1">
      <alignment horizontal="center" shrinkToFit="0" vertical="center" wrapText="1"/>
    </xf>
    <xf borderId="1" fillId="0" fontId="23" numFmtId="0" xfId="0" applyAlignment="1" applyBorder="1" applyFont="1">
      <alignment horizontal="center" vertical="center"/>
    </xf>
    <xf borderId="1" fillId="0" fontId="24" numFmtId="167" xfId="0" applyAlignment="1" applyBorder="1" applyFont="1" applyNumberFormat="1">
      <alignment horizontal="right" vertical="center"/>
    </xf>
    <xf borderId="6" fillId="0" fontId="25" numFmtId="0" xfId="0" applyAlignment="1" applyBorder="1" applyFont="1">
      <alignment shrinkToFit="0" vertical="center" wrapText="1"/>
    </xf>
    <xf borderId="1" fillId="13" fontId="10" numFmtId="180" xfId="0" applyAlignment="1" applyBorder="1" applyFill="1" applyFont="1" applyNumberFormat="1">
      <alignment horizontal="center" vertical="center"/>
    </xf>
    <xf borderId="6" fillId="13" fontId="10" numFmtId="180" xfId="0" applyAlignment="1" applyBorder="1" applyFill="1" applyFont="1" applyNumberFormat="1">
      <alignment horizontal="center" vertical="center"/>
    </xf>
    <xf borderId="29" fillId="0" fontId="4" numFmtId="0" xfId="0" applyBorder="1" applyFont="1"/>
    <xf borderId="30" fillId="0" fontId="4" numFmtId="0" xfId="0" applyBorder="1" applyFont="1"/>
    <xf borderId="1" fillId="0" fontId="18" numFmtId="170" xfId="0" applyAlignment="1" applyBorder="1" applyFont="1" applyNumberFormat="1">
      <alignment horizontal="right" vertical="center"/>
    </xf>
    <xf borderId="1" fillId="17" fontId="18" numFmtId="174" xfId="0" applyAlignment="1" applyBorder="1" applyFill="1" applyFont="1" applyNumberFormat="1">
      <alignment horizontal="right" vertical="center"/>
    </xf>
    <xf borderId="1" fillId="16" fontId="17" numFmtId="166" xfId="0" applyAlignment="1" applyBorder="1" applyFill="1" applyFont="1" applyNumberFormat="1">
      <alignment horizontal="right" vertical="center"/>
    </xf>
    <xf borderId="1" fillId="16" fontId="17" numFmtId="0" xfId="0" applyAlignment="1" applyBorder="1" applyFill="1" applyFont="1">
      <alignment horizontal="center" vertical="center"/>
    </xf>
    <xf borderId="1" fillId="0" fontId="26" numFmtId="0" xfId="0" applyAlignment="1" applyBorder="1" applyFont="1">
      <alignment horizontal="center" shrinkToFit="0" vertical="center" wrapText="1"/>
    </xf>
    <xf borderId="1" fillId="0" fontId="15" numFmtId="0" xfId="0" applyAlignment="1" applyBorder="1" applyFont="1">
      <alignment shrinkToFit="0" vertical="center" wrapText="1"/>
    </xf>
    <xf borderId="1" fillId="0" fontId="7" numFmtId="179" xfId="0" applyAlignment="1" applyBorder="1" applyFont="1" applyNumberFormat="1">
      <alignment horizontal="center" vertical="center"/>
    </xf>
    <xf borderId="6" fillId="0" fontId="7" numFmtId="0" xfId="0" applyAlignment="1" applyBorder="1" applyFont="1">
      <alignment shrinkToFit="0" vertical="center" wrapText="1"/>
    </xf>
    <xf borderId="1" fillId="0" fontId="14" numFmtId="174" xfId="0" applyAlignment="1" applyBorder="1" applyFont="1" applyNumberFormat="1">
      <alignment horizontal="right" vertical="center"/>
    </xf>
    <xf borderId="1" fillId="0" fontId="27" numFmtId="0" xfId="0" applyAlignment="1" applyBorder="1" applyFont="1">
      <alignment horizontal="center" shrinkToFit="0" vertical="center" wrapText="1"/>
    </xf>
    <xf borderId="1" fillId="0" fontId="7" numFmtId="181" xfId="0" applyAlignment="1" applyBorder="1" applyFont="1" applyNumberFormat="1">
      <alignment horizontal="right" vertical="center"/>
    </xf>
    <xf borderId="15" fillId="14" fontId="28" numFmtId="0" xfId="0" applyAlignment="1" applyBorder="1" applyFill="1" applyFont="1">
      <alignment vertical="center"/>
    </xf>
    <xf borderId="6" fillId="0" fontId="11" numFmtId="0" xfId="0" applyAlignment="1" applyBorder="1" applyFont="1">
      <alignment shrinkToFit="0" vertical="center" wrapText="1"/>
    </xf>
    <xf borderId="1" fillId="17" fontId="18" numFmtId="0" xfId="0" applyAlignment="1" applyBorder="1" applyFill="1" applyFont="1">
      <alignment horizontal="center" vertical="center"/>
    </xf>
    <xf borderId="15" fillId="15" fontId="16" numFmtId="0" xfId="0" applyAlignment="1" applyBorder="1" applyFill="1" applyFont="1">
      <alignment shrinkToFit="0" vertical="top" wrapText="1"/>
    </xf>
    <xf borderId="15" fillId="15" fontId="29" numFmtId="0" xfId="0" applyAlignment="1" applyBorder="1" applyFill="1" applyFont="1">
      <alignment shrinkToFit="0" vertical="top" wrapText="1"/>
    </xf>
    <xf borderId="1" fillId="0" fontId="7" numFmtId="178" xfId="0" applyAlignment="1" applyBorder="1" applyFont="1" applyNumberFormat="1">
      <alignment horizontal="right" vertical="center"/>
    </xf>
    <xf borderId="0" fillId="0" fontId="30" numFmtId="0" xfId="0" applyAlignment="1" applyFont="1">
      <alignment shrinkToFit="0" vertical="center" wrapText="1"/>
    </xf>
    <xf borderId="31" fillId="12" fontId="7" numFmtId="0" xfId="0" applyAlignment="1" applyBorder="1" applyFill="1" applyFont="1">
      <alignment vertical="center"/>
    </xf>
    <xf borderId="31" fillId="11" fontId="7" numFmtId="0" xfId="0" applyAlignment="1" applyBorder="1" applyFill="1" applyFont="1">
      <alignment vertical="center"/>
    </xf>
    <xf borderId="31" fillId="19" fontId="7" numFmtId="0" xfId="0" applyAlignment="1" applyBorder="1" applyFill="1" applyFont="1">
      <alignment vertical="center"/>
    </xf>
    <xf borderId="31" fillId="20" fontId="7" numFmtId="0" xfId="0" applyAlignment="1" applyBorder="1" applyFill="1" applyFont="1">
      <alignment vertical="center"/>
    </xf>
    <xf borderId="1" fillId="16" fontId="17" numFmtId="170" xfId="0" applyAlignment="1" applyBorder="1" applyFill="1" applyFont="1" applyNumberFormat="1">
      <alignment horizontal="right" vertical="center"/>
    </xf>
    <xf borderId="6" fillId="0" fontId="31" numFmtId="0" xfId="0" applyAlignment="1" applyBorder="1" applyFont="1">
      <alignment shrinkToFit="0" vertical="center" wrapText="1"/>
    </xf>
    <xf borderId="1" fillId="16" fontId="17" numFmtId="176" xfId="0" applyAlignment="1" applyBorder="1" applyFill="1" applyFont="1" applyNumberFormat="1">
      <alignment horizontal="right" vertical="center"/>
    </xf>
    <xf borderId="1" fillId="16" fontId="18" numFmtId="167" xfId="0" applyAlignment="1" applyBorder="1" applyFill="1" applyFont="1" applyNumberFormat="1">
      <alignment horizontal="right" vertical="center"/>
    </xf>
    <xf borderId="6" fillId="0" fontId="7" numFmtId="1" xfId="0" applyAlignment="1" applyBorder="1" applyFont="1" applyNumberFormat="1">
      <alignment horizontal="center" vertical="center"/>
    </xf>
    <xf borderId="1" fillId="16" fontId="17" numFmtId="1" xfId="0" applyAlignment="1" applyBorder="1" applyFill="1" applyFont="1" applyNumberFormat="1">
      <alignment horizontal="center" vertical="center"/>
    </xf>
    <xf borderId="26" fillId="18" fontId="18" numFmtId="0" xfId="0" applyAlignment="1" applyBorder="1" applyFill="1" applyFont="1">
      <alignment shrinkToFit="0" vertical="center" wrapText="1"/>
    </xf>
    <xf borderId="1" fillId="0" fontId="18" numFmtId="1" xfId="0" applyAlignment="1" applyBorder="1" applyFont="1" applyNumberFormat="1">
      <alignment horizontal="center" vertical="center"/>
    </xf>
    <xf borderId="6" fillId="0" fontId="32" numFmtId="0" xfId="0" applyAlignment="1" applyBorder="1" applyFont="1">
      <alignment shrinkToFit="0" vertical="center" wrapText="1"/>
    </xf>
    <xf borderId="1" fillId="17" fontId="33" numFmtId="0" xfId="0" applyAlignment="1" applyBorder="1" applyFill="1" applyFont="1">
      <alignment horizontal="center" shrinkToFit="0" vertical="center" wrapText="1"/>
    </xf>
    <xf borderId="6" fillId="15" fontId="16" numFmtId="0" xfId="0" applyAlignment="1" applyBorder="1" applyFill="1" applyFont="1">
      <alignment shrinkToFit="0" vertical="top" wrapText="1"/>
    </xf>
    <xf borderId="1" fillId="0" fontId="19" numFmtId="176" xfId="0" applyAlignment="1" applyBorder="1" applyFont="1" applyNumberFormat="1">
      <alignment horizontal="right" vertical="center"/>
    </xf>
    <xf borderId="1" fillId="0" fontId="18" numFmtId="0" xfId="0" applyAlignment="1" applyBorder="1" applyFont="1">
      <alignment horizontal="center" vertical="center"/>
    </xf>
    <xf borderId="1" fillId="0" fontId="2" numFmtId="176" xfId="0" applyAlignment="1" applyBorder="1" applyFont="1" applyNumberFormat="1">
      <alignment horizontal="right" vertical="center"/>
    </xf>
    <xf borderId="6" fillId="17" fontId="13" numFmtId="0" xfId="0" applyAlignment="1" applyBorder="1" applyFill="1" applyFont="1">
      <alignment shrinkToFit="0" vertical="top" wrapText="1"/>
    </xf>
    <xf borderId="2" fillId="21" fontId="3" numFmtId="0" xfId="0" applyAlignment="1" applyBorder="1" applyFill="1" applyFont="1">
      <alignment horizontal="left" vertical="center"/>
    </xf>
    <xf borderId="0" fillId="0" fontId="2" numFmtId="0" xfId="0" applyAlignment="1" applyFont="1">
      <alignment shrinkToFit="0" wrapText="1"/>
    </xf>
    <xf borderId="1" fillId="0" fontId="7" numFmtId="1" xfId="0" applyAlignment="1" applyBorder="1" applyFont="1" applyNumberFormat="1">
      <alignment horizontal="center" vertical="center"/>
    </xf>
    <xf borderId="6" fillId="22" fontId="5" numFmtId="0" xfId="0" applyAlignment="1" applyBorder="1" applyFill="1" applyFont="1">
      <alignment horizontal="left" vertical="center"/>
    </xf>
    <xf borderId="1" fillId="23" fontId="18" numFmtId="0" xfId="0" applyAlignment="1" applyBorder="1" applyFill="1" applyFont="1">
      <alignment horizontal="center" shrinkToFit="0" vertical="center" wrapText="1"/>
    </xf>
    <xf borderId="6" fillId="23" fontId="18" numFmtId="0" xfId="0" applyAlignment="1" applyBorder="1" applyFill="1" applyFont="1">
      <alignment horizontal="center" shrinkToFit="0" vertical="center" wrapText="1"/>
    </xf>
    <xf borderId="1" fillId="0" fontId="34" numFmtId="182" xfId="0" applyAlignment="1" applyBorder="1" applyFont="1" applyNumberFormat="1">
      <alignment horizontal="right" vertical="center"/>
    </xf>
    <xf borderId="6" fillId="0" fontId="2" numFmtId="0" xfId="0" applyAlignment="1" applyBorder="1" applyFont="1">
      <alignment vertical="center"/>
    </xf>
    <xf borderId="1" fillId="0" fontId="34" numFmtId="183" xfId="0" applyAlignment="1" applyBorder="1" applyFont="1" applyNumberFormat="1">
      <alignment horizontal="right" vertical="center"/>
    </xf>
    <xf borderId="1" fillId="0" fontId="34" numFmtId="9" xfId="0" applyAlignment="1" applyBorder="1" applyFont="1" applyNumberFormat="1">
      <alignment horizontal="right" vertical="center"/>
    </xf>
    <xf borderId="1" fillId="23" fontId="18" numFmtId="184" xfId="0" applyAlignment="1" applyBorder="1" applyFill="1" applyFont="1" applyNumberFormat="1">
      <alignment horizontal="center" shrinkToFit="0" vertical="center" wrapText="1"/>
    </xf>
    <xf borderId="1" fillId="0" fontId="34" numFmtId="176" xfId="0" applyAlignment="1" applyBorder="1" applyFont="1" applyNumberFormat="1">
      <alignment vertical="center"/>
    </xf>
    <xf borderId="1" fillId="0" fontId="7" numFmtId="184" xfId="0" applyAlignment="1" applyBorder="1" applyFont="1" applyNumberFormat="1">
      <alignment horizontal="center" vertical="center"/>
    </xf>
    <xf borderId="1" fillId="0" fontId="1" numFmtId="176" xfId="0" applyBorder="1" applyFont="1" applyNumberFormat="1"/>
    <xf borderId="1" fillId="0" fontId="35" numFmtId="9" xfId="0" applyBorder="1" applyFont="1" applyNumberFormat="1"/>
    <xf borderId="1" fillId="24" fontId="1" numFmtId="0" xfId="0" applyBorder="1" applyFill="1" applyFont="1"/>
    <xf borderId="1" fillId="24" fontId="1" numFmtId="176" xfId="0" applyBorder="1" applyFill="1" applyFont="1" applyNumberFormat="1"/>
    <xf borderId="5" fillId="9" fontId="5" numFmtId="0" xfId="0" applyAlignment="1" applyBorder="1" applyFill="1" applyFont="1">
      <alignment horizontal="left" vertical="center"/>
    </xf>
    <xf borderId="1" fillId="16" fontId="17" numFmtId="185" xfId="0" applyAlignment="1" applyBorder="1" applyFill="1" applyFont="1" applyNumberFormat="1">
      <alignment horizontal="right" vertical="center"/>
    </xf>
    <xf borderId="1" fillId="0" fontId="7" numFmtId="185" xfId="0" applyAlignment="1" applyBorder="1" applyFont="1" applyNumberFormat="1">
      <alignment horizontal="right" vertical="center"/>
    </xf>
    <xf borderId="1" fillId="0" fontId="2" numFmtId="186" xfId="0" applyAlignment="1" applyBorder="1" applyFont="1" applyNumberFormat="1">
      <alignment vertical="center"/>
    </xf>
    <xf borderId="1" fillId="0" fontId="2" numFmtId="183" xfId="0" applyAlignment="1" applyBorder="1" applyFont="1" applyNumberFormat="1">
      <alignment vertical="center"/>
    </xf>
    <xf borderId="1" fillId="0" fontId="34" numFmtId="186" xfId="0" applyAlignment="1" applyBorder="1" applyFont="1" applyNumberFormat="1">
      <alignment vertical="center"/>
    </xf>
    <xf borderId="1" fillId="0" fontId="34" numFmtId="10" xfId="0" applyAlignment="1" applyBorder="1" applyFont="1" applyNumberFormat="1">
      <alignment vertical="center"/>
    </xf>
    <xf borderId="1" fillId="24" fontId="1" numFmtId="0" xfId="0" applyAlignment="1" applyBorder="1" applyFill="1" applyFont="1">
      <alignment vertical="center"/>
    </xf>
    <xf borderId="1" fillId="24" fontId="1" numFmtId="0" xfId="0" applyAlignment="1" applyBorder="1" applyFill="1" applyFont="1">
      <alignment horizontal="center" vertical="center"/>
    </xf>
    <xf borderId="1" fillId="24" fontId="1" numFmtId="170" xfId="0" applyAlignment="1" applyBorder="1" applyFill="1" applyFont="1" applyNumberFormat="1">
      <alignment vertical="center"/>
    </xf>
    <xf borderId="1" fillId="0" fontId="2" numFmtId="165" xfId="0" applyAlignment="1" applyBorder="1" applyFont="1" applyNumberFormat="1">
      <alignment horizontal="center" vertical="center"/>
    </xf>
    <xf borderId="1" fillId="16" fontId="17" numFmtId="14" xfId="0" applyAlignment="1" applyBorder="1" applyFill="1" applyFont="1" applyNumberFormat="1">
      <alignment horizontal="center" vertical="center"/>
    </xf>
    <xf borderId="6" fillId="18" fontId="1" numFmtId="0" xfId="0" applyAlignment="1" applyBorder="1" applyFill="1" applyFont="1">
      <alignment horizontal="left" vertical="center"/>
    </xf>
    <xf borderId="1" fillId="0" fontId="2" numFmtId="166" xfId="0" applyAlignment="1" applyBorder="1" applyFont="1" applyNumberFormat="1">
      <alignment horizontal="center" vertical="center"/>
    </xf>
    <xf borderId="1" fillId="0" fontId="2" numFmtId="170" xfId="0" applyAlignment="1" applyBorder="1" applyFont="1" applyNumberFormat="1">
      <alignment horizontal="center" vertical="center"/>
    </xf>
    <xf borderId="1" fillId="16" fontId="2" numFmtId="0" xfId="0" applyAlignment="1" applyBorder="1" applyFill="1" applyFont="1">
      <alignment vertical="center"/>
    </xf>
    <xf borderId="6" fillId="16" fontId="2" numFmtId="0" xfId="0" applyAlignment="1" applyBorder="1" applyFill="1" applyFont="1">
      <alignment vertical="center"/>
    </xf>
    <xf borderId="32" fillId="15" fontId="16" numFmtId="0" xfId="0" applyAlignment="1" applyBorder="1" applyFill="1" applyFont="1">
      <alignment shrinkToFit="0" vertical="top" wrapText="1"/>
    </xf>
    <xf borderId="33" fillId="0" fontId="4" numFmtId="0" xfId="0" applyBorder="1" applyFont="1"/>
    <xf borderId="34" fillId="0" fontId="4" numFmtId="0" xfId="0" applyBorder="1" applyFont="1"/>
    <xf borderId="1" fillId="0" fontId="34" numFmtId="0" xfId="0" applyAlignment="1" applyBorder="1" applyFont="1">
      <alignment horizontal="center" vertical="center"/>
    </xf>
    <xf borderId="1" fillId="0" fontId="34" numFmtId="166" xfId="0" applyAlignment="1" applyBorder="1" applyFont="1" applyNumberFormat="1">
      <alignment horizontal="center" vertical="center"/>
    </xf>
    <xf borderId="1" fillId="0" fontId="34" numFmtId="187" xfId="0" applyAlignment="1" applyBorder="1" applyFont="1" applyNumberFormat="1">
      <alignment horizontal="right" vertical="center"/>
    </xf>
    <xf borderId="1" fillId="0" fontId="34" numFmtId="3" xfId="0" applyAlignment="1" applyBorder="1" applyFont="1" applyNumberFormat="1">
      <alignment horizontal="center" vertical="center"/>
    </xf>
    <xf borderId="1" fillId="0" fontId="2" numFmtId="188" xfId="0" applyAlignment="1" applyBorder="1" applyFont="1" applyNumberFormat="1">
      <alignment horizontal="right" vertical="center"/>
    </xf>
    <xf borderId="1" fillId="0" fontId="34" numFmtId="188" xfId="0" applyAlignment="1" applyBorder="1" applyFont="1" applyNumberFormat="1">
      <alignment horizontal="right" vertical="center"/>
    </xf>
    <xf borderId="6" fillId="18" fontId="21" numFmtId="0" xfId="0" applyAlignment="1" applyBorder="1" applyFill="1" applyFont="1">
      <alignment horizontal="left" shrinkToFit="0" vertical="center" wrapText="1"/>
    </xf>
    <xf borderId="1" fillId="0" fontId="7" numFmtId="189" xfId="0" applyAlignment="1" applyBorder="1" applyFont="1" applyNumberFormat="1">
      <alignment horizontal="right" vertical="center"/>
    </xf>
    <xf borderId="6" fillId="17" fontId="20" numFmtId="0" xfId="0" applyAlignment="1" applyBorder="1" applyFill="1" applyFont="1">
      <alignment horizontal="center" vertical="center"/>
    </xf>
    <xf borderId="2" fillId="21" fontId="3" numFmtId="190" xfId="0" applyAlignment="1" applyBorder="1" applyFill="1" applyFont="1" applyNumberFormat="1">
      <alignment horizontal="left" vertical="center"/>
    </xf>
    <xf borderId="0" fillId="0" fontId="2" numFmtId="190" xfId="0" applyFont="1" applyNumberFormat="1"/>
    <xf borderId="6" fillId="22" fontId="5" numFmtId="190" xfId="0" applyAlignment="1" applyBorder="1" applyFill="1" applyFont="1" applyNumberFormat="1">
      <alignment horizontal="left" vertical="center"/>
    </xf>
    <xf borderId="1" fillId="23" fontId="18" numFmtId="190" xfId="0" applyAlignment="1" applyBorder="1" applyFill="1" applyFont="1" applyNumberFormat="1">
      <alignment horizontal="center" shrinkToFit="0" vertical="center" wrapText="1"/>
    </xf>
    <xf borderId="1" fillId="0" fontId="2" numFmtId="190" xfId="0" applyAlignment="1" applyBorder="1" applyFont="1" applyNumberFormat="1">
      <alignment horizontal="center" vertical="center"/>
    </xf>
    <xf borderId="1" fillId="0" fontId="2" numFmtId="190" xfId="0" applyAlignment="1" applyBorder="1" applyFont="1" applyNumberFormat="1">
      <alignment vertical="center"/>
    </xf>
    <xf borderId="1" fillId="0" fontId="36" numFmtId="190" xfId="0" applyAlignment="1" applyBorder="1" applyFont="1" applyNumberFormat="1">
      <alignment horizontal="right" vertical="center"/>
    </xf>
    <xf borderId="1" fillId="0" fontId="34" numFmtId="10" xfId="0" applyAlignment="1" applyBorder="1" applyFont="1" applyNumberFormat="1">
      <alignment horizontal="center" vertical="center"/>
    </xf>
    <xf borderId="1" fillId="0" fontId="2" numFmtId="190" xfId="0" applyAlignment="1" applyBorder="1" applyFont="1" applyNumberFormat="1">
      <alignment horizontal="right" vertical="center"/>
    </xf>
    <xf borderId="1" fillId="0" fontId="34" numFmtId="190" xfId="0" applyAlignment="1" applyBorder="1" applyFont="1" applyNumberFormat="1">
      <alignment horizontal="right" vertical="center"/>
    </xf>
    <xf borderId="1" fillId="0" fontId="2" numFmtId="10" xfId="0" applyAlignment="1" applyBorder="1" applyFont="1" applyNumberFormat="1">
      <alignment horizontal="center" vertical="center"/>
    </xf>
    <xf borderId="1" fillId="0" fontId="2" numFmtId="190" xfId="0" applyAlignment="1" applyBorder="1" applyFont="1" applyNumberFormat="1">
      <alignment shrinkToFit="0" vertical="center" wrapText="1"/>
    </xf>
    <xf borderId="2" fillId="21" fontId="3" numFmtId="191" xfId="0" applyAlignment="1" applyBorder="1" applyFill="1" applyFont="1" applyNumberFormat="1">
      <alignment horizontal="left" vertical="center"/>
    </xf>
    <xf borderId="0" fillId="0" fontId="2" numFmtId="191" xfId="0" applyFont="1" applyNumberFormat="1"/>
    <xf borderId="1" fillId="0" fontId="2" numFmtId="10" xfId="0" applyAlignment="1" applyBorder="1" applyFont="1" applyNumberFormat="1">
      <alignment vertical="center"/>
    </xf>
    <xf borderId="0" fillId="0" fontId="2" numFmtId="191" xfId="0" applyAlignment="1" applyFont="1" applyNumberFormat="1">
      <alignment shrinkToFit="0" wrapText="1"/>
    </xf>
    <xf borderId="6" fillId="23" fontId="18" numFmtId="190" xfId="0" applyAlignment="1" applyBorder="1" applyFill="1" applyFont="1" applyNumberFormat="1">
      <alignment horizontal="center" shrinkToFit="0" vertical="center" wrapText="1"/>
    </xf>
    <xf borderId="6" fillId="0" fontId="2" numFmtId="190" xfId="0" applyAlignment="1" applyBorder="1" applyFont="1" applyNumberFormat="1">
      <alignment vertical="center"/>
    </xf>
    <xf borderId="6" fillId="22" fontId="5" numFmtId="191" xfId="0" applyAlignment="1" applyBorder="1" applyFill="1" applyFont="1" applyNumberFormat="1">
      <alignment horizontal="left" vertical="center"/>
    </xf>
    <xf borderId="5" fillId="9" fontId="5" numFmtId="191" xfId="0" applyAlignment="1" applyBorder="1" applyFill="1" applyFont="1" applyNumberFormat="1">
      <alignment horizontal="left" vertical="center"/>
    </xf>
    <xf borderId="1" fillId="23" fontId="18" numFmtId="191" xfId="0" applyAlignment="1" applyBorder="1" applyFill="1" applyFont="1" applyNumberFormat="1">
      <alignment horizontal="center" shrinkToFit="0" vertical="center" wrapText="1"/>
    </xf>
    <xf borderId="6" fillId="23" fontId="18" numFmtId="191" xfId="0" applyAlignment="1" applyBorder="1" applyFill="1" applyFont="1" applyNumberFormat="1">
      <alignment horizontal="center" shrinkToFit="0" vertical="center" wrapText="1"/>
    </xf>
    <xf borderId="1" fillId="0" fontId="2" numFmtId="191" xfId="0" applyAlignment="1" applyBorder="1" applyFont="1" applyNumberFormat="1">
      <alignment vertical="center"/>
    </xf>
    <xf borderId="1" fillId="0" fontId="34" numFmtId="191" xfId="0" applyAlignment="1" applyBorder="1" applyFont="1" applyNumberFormat="1">
      <alignment vertical="center"/>
    </xf>
    <xf borderId="1" fillId="0" fontId="2" numFmtId="191" xfId="0" applyAlignment="1" applyBorder="1" applyFont="1" applyNumberFormat="1">
      <alignment horizontal="center" vertical="center"/>
    </xf>
    <xf borderId="6" fillId="0" fontId="2" numFmtId="191" xfId="0" applyAlignment="1" applyBorder="1" applyFont="1" applyNumberFormat="1">
      <alignment vertical="center"/>
    </xf>
    <xf borderId="1" fillId="24" fontId="1" numFmtId="191" xfId="0" applyAlignment="1" applyBorder="1" applyFill="1" applyFont="1" applyNumberFormat="1">
      <alignment vertical="center"/>
    </xf>
    <xf borderId="1" fillId="24" fontId="1" numFmtId="191" xfId="0" applyAlignment="1" applyBorder="1" applyFill="1" applyFont="1" applyNumberFormat="1">
      <alignment horizontal="center" vertical="center"/>
    </xf>
    <xf borderId="6" fillId="24" fontId="1" numFmtId="191" xfId="0" applyAlignment="1" applyBorder="1" applyFill="1" applyFont="1" applyNumberFormat="1">
      <alignment vertical="center"/>
    </xf>
    <xf borderId="1" fillId="0" fontId="2" numFmtId="191" xfId="0" applyBorder="1" applyFont="1" applyNumberFormat="1"/>
    <xf borderId="5" fillId="9" fontId="18" numFmtId="191" xfId="0" applyAlignment="1" applyBorder="1" applyFill="1" applyFont="1" applyNumberFormat="1">
      <alignment horizontal="center" shrinkToFit="0" vertical="center" wrapText="1"/>
    </xf>
    <xf borderId="1" fillId="0" fontId="36" numFmtId="192" xfId="0" applyAlignment="1" applyBorder="1" applyFont="1" applyNumberFormat="1">
      <alignment vertical="center"/>
    </xf>
    <xf borderId="1" fillId="0" fontId="2" numFmtId="178" xfId="0" applyAlignment="1" applyBorder="1" applyFont="1" applyNumberFormat="1">
      <alignment vertical="center"/>
    </xf>
    <xf borderId="0" fillId="0" fontId="2" numFmtId="178" xfId="0" applyAlignment="1" applyFont="1" applyNumberFormat="1">
      <alignment vertical="center"/>
    </xf>
    <xf borderId="26" fillId="0" fontId="7" numFmtId="189" xfId="0" applyAlignment="1" applyBorder="1" applyFont="1" applyNumberFormat="1">
      <alignment horizontal="right" vertical="center"/>
    </xf>
    <xf borderId="6" fillId="0" fontId="2" numFmtId="0" xfId="0" applyAlignment="1" applyBorder="1" applyFont="1">
      <alignment horizontal="center" vertical="center"/>
    </xf>
    <xf borderId="1" fillId="0" fontId="2" numFmtId="0" xfId="0" applyAlignment="1" applyBorder="1" applyFont="1">
      <alignment horizontal="left" vertical="center"/>
    </xf>
    <xf borderId="2" fillId="21" fontId="37" numFmtId="0" xfId="0" applyAlignment="1" applyBorder="1" applyFill="1" applyFont="1">
      <alignment shrinkToFit="0" vertical="center" wrapText="1"/>
    </xf>
    <xf borderId="35" fillId="18" fontId="21" numFmtId="0" xfId="0" applyAlignment="1" applyBorder="1" applyFill="1" applyFont="1">
      <alignment horizontal="left" vertical="center"/>
    </xf>
    <xf borderId="36" fillId="0" fontId="4" numFmtId="0" xfId="0" applyBorder="1" applyFont="1"/>
    <xf borderId="37" fillId="0" fontId="4" numFmtId="0" xfId="0" applyBorder="1" applyFont="1"/>
    <xf borderId="2" fillId="25" fontId="24" numFmtId="0" xfId="0" applyAlignment="1" applyBorder="1" applyFill="1" applyFont="1">
      <alignment shrinkToFit="0" vertical="center" wrapText="1"/>
    </xf>
    <xf borderId="1" fillId="17" fontId="18" numFmtId="189" xfId="0" applyAlignment="1" applyBorder="1" applyFill="1" applyFont="1" applyNumberFormat="1">
      <alignment horizontal="right" vertical="center"/>
    </xf>
    <xf borderId="0" fillId="0" fontId="2" numFmtId="0" xfId="0" applyAlignment="1" applyFont="1">
      <alignment shrinkToFit="0" vertical="center" wrapText="1"/>
    </xf>
    <xf borderId="6" fillId="21" fontId="5" numFmtId="0" xfId="0" applyAlignment="1" applyBorder="1" applyFill="1" applyFont="1">
      <alignment shrinkToFit="0" vertical="center" wrapText="1"/>
    </xf>
    <xf borderId="1" fillId="23" fontId="1" numFmtId="0" xfId="0" applyAlignment="1" applyBorder="1" applyFill="1" applyFont="1">
      <alignment horizontal="center" shrinkToFit="0" vertical="center" wrapText="1"/>
    </xf>
    <xf borderId="1" fillId="0" fontId="2" numFmtId="49" xfId="0" applyAlignment="1" applyBorder="1" applyFont="1" applyNumberFormat="1">
      <alignment horizontal="center" shrinkToFit="0" vertical="center" wrapText="1"/>
    </xf>
    <xf borderId="1" fillId="0" fontId="2" numFmtId="170" xfId="0" applyAlignment="1" applyBorder="1" applyFont="1" applyNumberFormat="1">
      <alignment horizontal="center" shrinkToFit="0" vertical="center" wrapText="1"/>
    </xf>
    <xf borderId="1" fillId="0" fontId="34" numFmtId="167" xfId="0" applyAlignment="1" applyBorder="1" applyFont="1" applyNumberFormat="1">
      <alignment horizontal="center" shrinkToFit="0" vertical="center" wrapText="1"/>
    </xf>
    <xf borderId="0" fillId="0" fontId="2" numFmtId="0" xfId="0" applyAlignment="1" applyFont="1">
      <alignment horizontal="center" shrinkToFit="0" vertical="center" wrapText="1"/>
    </xf>
    <xf borderId="2" fillId="21" fontId="5" numFmtId="0" xfId="0" applyAlignment="1" applyBorder="1" applyFill="1" applyFont="1">
      <alignment shrinkToFit="0" vertical="center" wrapText="1"/>
    </xf>
    <xf borderId="1" fillId="0" fontId="36" numFmtId="170" xfId="0" applyAlignment="1" applyBorder="1" applyFont="1" applyNumberFormat="1">
      <alignment shrinkToFit="0" vertical="center" wrapText="1"/>
    </xf>
    <xf borderId="1" fillId="0" fontId="2" numFmtId="170" xfId="0" applyAlignment="1" applyBorder="1" applyFont="1" applyNumberFormat="1">
      <alignment shrinkToFit="0" vertical="center" wrapText="1"/>
    </xf>
    <xf borderId="1" fillId="0" fontId="2" numFmtId="167" xfId="0" applyAlignment="1" applyBorder="1" applyFont="1" applyNumberFormat="1">
      <alignment shrinkToFit="0" vertical="center" wrapText="1"/>
    </xf>
    <xf borderId="2" fillId="26" fontId="21" numFmtId="0" xfId="0" applyAlignment="1" applyBorder="1" applyFill="1" applyFont="1">
      <alignment horizontal="left" vertical="center"/>
    </xf>
    <xf borderId="1" fillId="24" fontId="1" numFmtId="0" xfId="0" applyAlignment="1" applyBorder="1" applyFill="1" applyFont="1">
      <alignment shrinkToFit="0" vertical="center" wrapText="1"/>
    </xf>
    <xf borderId="1" fillId="24" fontId="1" numFmtId="170" xfId="0" applyAlignment="1" applyBorder="1" applyFill="1" applyFont="1" applyNumberFormat="1">
      <alignment shrinkToFit="0" vertical="center" wrapText="1"/>
    </xf>
    <xf borderId="1" fillId="24" fontId="1" numFmtId="167" xfId="0" applyAlignment="1" applyBorder="1" applyFill="1" applyFont="1" applyNumberFormat="1">
      <alignment shrinkToFit="0" vertical="center" wrapText="1"/>
    </xf>
    <xf borderId="1" fillId="25" fontId="1" numFmtId="0" xfId="0" applyAlignment="1" applyBorder="1" applyFill="1" applyFont="1">
      <alignment shrinkToFit="0" vertical="center" wrapText="1"/>
    </xf>
    <xf borderId="6" fillId="0" fontId="2" numFmtId="0" xfId="0" applyAlignment="1" applyBorder="1" applyFont="1">
      <alignment shrinkToFit="0" vertical="center" wrapText="1"/>
    </xf>
    <xf borderId="0" fillId="0" fontId="1" numFmtId="0" xfId="0" applyAlignment="1" applyFont="1">
      <alignment horizontal="center" shrinkToFit="0" vertical="center" wrapText="1"/>
    </xf>
    <xf borderId="38" fillId="0" fontId="2" numFmtId="170" xfId="0" applyAlignment="1" applyBorder="1" applyFont="1" applyNumberFormat="1">
      <alignment horizontal="right" vertical="center"/>
    </xf>
    <xf borderId="38" fillId="16" fontId="36" numFmtId="170" xfId="0" applyAlignment="1" applyBorder="1" applyFill="1" applyFont="1" applyNumberFormat="1">
      <alignment horizontal="right" vertical="center"/>
    </xf>
    <xf borderId="38" fillId="16" fontId="36" numFmtId="166" xfId="0" applyAlignment="1" applyBorder="1" applyFill="1" applyFont="1" applyNumberFormat="1">
      <alignment horizontal="right" vertical="center"/>
    </xf>
    <xf borderId="1" fillId="0" fontId="7" numFmtId="170" xfId="0" applyAlignment="1" applyBorder="1" applyFont="1" applyNumberFormat="1">
      <alignment shrinkToFit="0" vertical="center" wrapText="1"/>
    </xf>
    <xf borderId="1" fillId="0" fontId="36" numFmtId="185" xfId="0" applyAlignment="1" applyBorder="1" applyFont="1" applyNumberFormat="1">
      <alignment shrinkToFit="0" vertical="center" wrapText="1"/>
    </xf>
    <xf borderId="1" fillId="0" fontId="7" numFmtId="185" xfId="0" applyAlignment="1" applyBorder="1" applyFont="1" applyNumberFormat="1">
      <alignment shrinkToFit="0" vertical="center" wrapText="1"/>
    </xf>
    <xf borderId="38" fillId="16" fontId="36" numFmtId="176" xfId="0" applyAlignment="1" applyBorder="1" applyFill="1" applyFont="1" applyNumberFormat="1">
      <alignment horizontal="right" vertical="center"/>
    </xf>
    <xf borderId="1" fillId="0" fontId="7" numFmtId="166" xfId="0" applyAlignment="1" applyBorder="1" applyFont="1" applyNumberFormat="1">
      <alignment horizontal="right" vertical="center"/>
    </xf>
    <xf borderId="6" fillId="14" fontId="13" numFmtId="0" xfId="0" applyAlignment="1" applyBorder="1" applyFill="1" applyFont="1">
      <alignment horizontal="center" vertical="center"/>
    </xf>
    <xf borderId="38" fillId="16" fontId="14" numFmtId="185" xfId="0" applyAlignment="1" applyBorder="1" applyFill="1" applyFont="1" applyNumberFormat="1">
      <alignment shrinkToFit="0" vertical="center" wrapText="1"/>
    </xf>
    <xf borderId="38" fillId="0" fontId="7" numFmtId="185" xfId="0" applyAlignment="1" applyBorder="1" applyFont="1" applyNumberFormat="1">
      <alignment shrinkToFit="0" vertical="center" wrapText="1"/>
    </xf>
    <xf borderId="1" fillId="0" fontId="7" numFmtId="167" xfId="0" applyAlignment="1" applyBorder="1" applyFont="1" applyNumberFormat="1">
      <alignment shrinkToFit="0" vertical="center" wrapText="1"/>
    </xf>
    <xf borderId="1" fillId="27" fontId="1" numFmtId="49" xfId="0" applyAlignment="1" applyBorder="1" applyFill="1" applyFont="1" applyNumberFormat="1">
      <alignment shrinkToFit="0" vertical="center" wrapText="1"/>
    </xf>
    <xf borderId="6" fillId="10" fontId="2" numFmtId="0" xfId="0" applyAlignment="1" applyBorder="1" applyFill="1" applyFont="1">
      <alignment shrinkToFit="0" vertical="center" wrapText="1"/>
    </xf>
    <xf borderId="6" fillId="25" fontId="24" numFmtId="0" xfId="0" applyAlignment="1" applyBorder="1" applyFill="1" applyFont="1">
      <alignment shrinkToFit="0" vertical="center" wrapText="1"/>
    </xf>
    <xf borderId="1" fillId="0" fontId="2" numFmtId="9" xfId="0" applyAlignment="1" applyBorder="1" applyFont="1" applyNumberFormat="1">
      <alignment horizontal="center" shrinkToFit="0" vertical="center" wrapText="1"/>
    </xf>
    <xf borderId="1" fillId="0" fontId="2" numFmtId="0" xfId="0" applyAlignment="1" applyBorder="1" applyFont="1">
      <alignment horizontal="left" shrinkToFit="0" vertical="center" wrapText="1"/>
    </xf>
    <xf borderId="1" fillId="0" fontId="2" numFmtId="181" xfId="0" applyAlignment="1" applyBorder="1" applyFont="1" applyNumberFormat="1">
      <alignment horizontal="center" shrinkToFit="0" vertical="center" wrapText="1"/>
    </xf>
    <xf borderId="6" fillId="23"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6" fillId="0" fontId="2" numFmtId="0" xfId="0" applyAlignment="1" applyBorder="1" applyFont="1">
      <alignment shrinkToFit="0" vertical="top" wrapText="1"/>
    </xf>
    <xf borderId="6" fillId="0" fontId="2" numFmtId="0" xfId="0" applyAlignment="1" applyBorder="1" applyFont="1">
      <alignment vertical="top"/>
    </xf>
    <xf borderId="1" fillId="0" fontId="2" numFmtId="0" xfId="0" applyAlignment="1" applyBorder="1" applyFont="1">
      <alignment vertical="top"/>
    </xf>
    <xf borderId="6" fillId="14" fontId="1" numFmtId="0" xfId="0" applyAlignment="1" applyBorder="1" applyFill="1" applyFont="1">
      <alignment horizontal="center" vertical="center"/>
    </xf>
    <xf borderId="1" fillId="14" fontId="1" numFmtId="0" xfId="0" applyAlignment="1" applyBorder="1" applyFill="1" applyFont="1">
      <alignment horizontal="left" shrinkToFit="0" vertical="center" wrapText="1"/>
    </xf>
    <xf borderId="1" fillId="14" fontId="1" numFmtId="0" xfId="0" applyAlignment="1" applyBorder="1" applyFill="1" applyFont="1">
      <alignment horizontal="center" shrinkToFit="0" vertical="center" wrapText="1"/>
    </xf>
    <xf borderId="6" fillId="0" fontId="6" numFmtId="0" xfId="0" applyAlignment="1" applyBorder="1" applyFont="1">
      <alignment horizontal="center"/>
    </xf>
    <xf borderId="1" fillId="17" fontId="1" numFmtId="0" xfId="0" applyAlignment="1" applyBorder="1" applyFill="1" applyFont="1">
      <alignment horizontal="center" vertical="center"/>
    </xf>
    <xf borderId="1" fillId="16" fontId="2" numFmtId="167" xfId="0" applyAlignment="1" applyBorder="1" applyFill="1" applyFont="1" applyNumberFormat="1">
      <alignment horizontal="right" vertical="center"/>
    </xf>
    <xf borderId="1" fillId="16" fontId="2" numFmtId="185" xfId="0" applyAlignment="1" applyBorder="1" applyFill="1" applyFont="1" applyNumberFormat="1">
      <alignment horizontal="right" vertical="center"/>
    </xf>
    <xf borderId="1" fillId="0" fontId="18" numFmtId="174" xfId="0" applyAlignment="1" applyBorder="1" applyFont="1" applyNumberFormat="1">
      <alignment horizontal="right" vertical="center"/>
    </xf>
    <xf borderId="6" fillId="0" fontId="18" numFmtId="0" xfId="0" applyAlignment="1" applyBorder="1" applyFont="1">
      <alignment shrinkToFit="0" vertical="center" wrapText="1"/>
    </xf>
    <xf borderId="6" fillId="14" fontId="1" numFmtId="0" xfId="0" applyAlignment="1" applyBorder="1" applyFill="1" applyFont="1">
      <alignment horizontal="left" shrinkToFit="0" vertical="center" wrapText="1"/>
    </xf>
  </cellXfs>
  <cellStyles count="1">
    <cellStyle xfId="0" name="Normal" builtinId="0"/>
  </cellStyles>
  <dxfs count="12">
    <dxf>
      <font>
        <b/>
        <color rgb="FF9C0006"/>
      </font>
      <fill>
        <patternFill patternType="solid">
          <fgColor rgb="FFFFC7CE"/>
          <bgColor rgb="FFFFC7CE"/>
        </patternFill>
      </fill>
      <border/>
    </dxf>
    <dxf>
      <font>
        <color rgb="FF808080"/>
      </font>
      <fill>
        <patternFill patternType="solid">
          <fgColor rgb="FFEDEDED"/>
          <bgColor rgb="FFEDEDED"/>
        </patternFill>
      </fill>
      <border/>
    </dxf>
    <dxf>
      <font>
        <b/>
        <color rgb="FFFFFFFF"/>
      </font>
      <fill>
        <patternFill patternType="solid">
          <fgColor rgb="FF1F3864"/>
          <bgColor rgb="FF1F3864"/>
        </patternFill>
      </fill>
      <border/>
    </dxf>
    <dxf>
      <font>
        <b/>
        <color rgb="FFFFFFFF"/>
      </font>
      <fill>
        <patternFill patternType="solid">
          <fgColor rgb="FF356854"/>
          <bgColor rgb="FF356854"/>
        </patternFill>
      </fill>
      <border/>
    </dxf>
    <dxf>
      <font>
        <color rgb="FF1E3D33"/>
      </font>
      <fill>
        <patternFill patternType="solid">
          <fgColor rgb="FFC6E0B4"/>
          <bgColor rgb="FFC6E0B4"/>
        </patternFill>
      </fill>
      <border/>
    </dxf>
    <dxf>
      <font>
        <b/>
        <color rgb="FF843C0C"/>
      </font>
      <fill>
        <patternFill patternType="solid">
          <fgColor rgb="FFF8CBAD"/>
          <bgColor rgb="FFF8CBAD"/>
        </patternFill>
      </fill>
      <border/>
    </dxf>
    <dxf>
      <font>
        <b/>
      </font>
      <fill>
        <patternFill patternType="solid">
          <fgColor rgb="FFF4CCCC"/>
          <bgColor rgb="FFF4CCCC"/>
        </patternFill>
      </fill>
      <border/>
    </dxf>
    <dxf>
      <font/>
      <fill>
        <patternFill patternType="solid">
          <fgColor rgb="FFFCE4D6"/>
          <bgColor rgb="FFFCE4D6"/>
        </patternFill>
      </fill>
      <border/>
    </dxf>
    <dxf>
      <font/>
      <fill>
        <patternFill patternType="solid">
          <fgColor rgb="FFFFF2CC"/>
          <bgColor rgb="FFFFF2CC"/>
        </patternFill>
      </fill>
      <border/>
    </dxf>
    <dxf>
      <font/>
      <fill>
        <patternFill patternType="solid">
          <fgColor rgb="FFE2F0D9"/>
          <bgColor rgb="FFE2F0D9"/>
        </patternFill>
      </fill>
      <border/>
    </dxf>
    <dxf>
      <font>
        <color rgb="FF9C0006"/>
      </font>
      <fill>
        <patternFill patternType="solid">
          <fgColor rgb="FFF4CCCC"/>
          <bgColor rgb="FFF4CCCC"/>
        </patternFill>
      </fill>
      <border/>
    </dxf>
    <dxf>
      <font>
        <color rgb="FF274E13"/>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17365D"/>
                </a:solidFill>
                <a:latin typeface="Cambria"/>
              </a:defRPr>
            </a:pPr>
            <a:r>
              <a:rPr b="1" i="0" sz="1100">
                <a:solidFill>
                  <a:srgbClr val="17365D"/>
                </a:solidFill>
                <a:latin typeface="Cambria"/>
              </a:rPr>
              <a:t>Carbon-allowed capacity vs potential orders (pcs)</a:t>
            </a:r>
          </a:p>
        </c:rich>
      </c:tx>
      <c:overlay val="0"/>
    </c:title>
    <c:plotArea>
      <c:layout/>
      <c:barChart>
        <c:barDir val="col"/>
        <c:ser>
          <c:idx val="0"/>
          <c:order val="0"/>
          <c:tx>
            <c:v>Carbon-allowed capacity at 78% biomass</c:v>
          </c:tx>
          <c:spPr>
            <a:solidFill>
              <a:srgbClr val="17365D"/>
            </a:solidFill>
            <a:ln cmpd="sng">
              <a:noFill/>
            </a:ln>
          </c:spPr>
          <c:invertIfNegative val="0"/>
          <c:cat>
            <c:strRef>
              <c:f>'Carbon-Allowed Capacity'!$D$31:$H$31</c:f>
            </c:strRef>
          </c:cat>
          <c:val>
            <c:numRef>
              <c:f>'Carbon-Allowed Capacity'!$D$36:$H$36</c:f>
              <c:numCache/>
            </c:numRef>
          </c:val>
        </c:ser>
        <c:ser>
          <c:idx val="1"/>
          <c:order val="1"/>
          <c:tx>
            <c:v>Potential orders (case)</c:v>
          </c:tx>
          <c:spPr>
            <a:solidFill>
              <a:srgbClr val="9DC3E6"/>
            </a:solidFill>
            <a:ln cmpd="sng">
              <a:noFill/>
            </a:ln>
          </c:spPr>
          <c:invertIfNegative val="0"/>
          <c:cat>
            <c:strRef>
              <c:f>'Carbon-Allowed Capacity'!$D$31:$H$31</c:f>
            </c:strRef>
          </c:cat>
          <c:val>
            <c:numRef>
              <c:f>'Carbon-Allowed Capacity'!$D$48:$F$48</c:f>
              <c:numCache/>
            </c:numRef>
          </c:val>
        </c:ser>
        <c:axId val="587747026"/>
        <c:axId val="239119784"/>
      </c:barChart>
      <c:catAx>
        <c:axId val="5877470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404040"/>
                </a:solidFill>
                <a:latin typeface="Cambria"/>
              </a:defRPr>
            </a:pPr>
          </a:p>
        </c:txPr>
        <c:crossAx val="239119784"/>
      </c:catAx>
      <c:valAx>
        <c:axId val="239119784"/>
        <c:scaling>
          <c:orientation val="minMax"/>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quot;M&quot;" sourceLinked="0"/>
        <c:majorTickMark val="none"/>
        <c:minorTickMark val="none"/>
        <c:tickLblPos val="nextTo"/>
        <c:spPr>
          <a:ln>
            <a:noFill/>
          </a:ln>
        </c:spPr>
        <c:txPr>
          <a:bodyPr/>
          <a:lstStyle/>
          <a:p>
            <a:pPr lvl="0">
              <a:defRPr b="0" i="0" sz="900">
                <a:solidFill>
                  <a:srgbClr val="404040"/>
                </a:solidFill>
                <a:latin typeface="Cambria"/>
              </a:defRPr>
            </a:pPr>
          </a:p>
        </c:txPr>
        <c:crossAx val="587747026"/>
      </c:valAx>
    </c:plotArea>
    <c:legend>
      <c:legendPos val="b"/>
      <c:layout>
        <c:manualLayout>
          <c:xMode val="edge"/>
          <c:yMode val="edge"/>
          <c:x val="0.03"/>
          <c:y val="0.84"/>
        </c:manualLayout>
      </c:layout>
      <c:overlay val="0"/>
      <c:txPr>
        <a:bodyPr/>
        <a:lstStyle/>
        <a:p>
          <a:pPr lvl="0">
            <a:defRPr b="0" i="0" sz="900">
              <a:solidFill>
                <a:srgbClr val="404040"/>
              </a:solidFill>
              <a:latin typeface="Cambria"/>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17365D"/>
                </a:solidFill>
                <a:latin typeface="Cambria"/>
              </a:defRPr>
            </a:pPr>
            <a:r>
              <a:rPr b="1" i="0" sz="1100">
                <a:solidFill>
                  <a:srgbClr val="17365D"/>
                </a:solidFill>
                <a:latin typeface="Cambria"/>
              </a:rPr>
              <a:t>Thermal-energy CO2e vs buyer cap, 2026–2031</a:t>
            </a:r>
          </a:p>
        </c:rich>
      </c:tx>
      <c:overlay val="0"/>
    </c:title>
    <c:plotArea>
      <c:layout/>
      <c:barChart>
        <c:barDir val="col"/>
        <c:varyColors val="0"/>
        <c:ser>
          <c:idx val="0"/>
          <c:order val="0"/>
          <c:tx>
            <c:v>Actual CO2e (t)</c:v>
          </c:tx>
          <c:spPr>
            <a:solidFill>
              <a:srgbClr val="17365D"/>
            </a:solidFill>
            <a:ln cmpd="sng">
              <a:noFill/>
            </a:ln>
          </c:spPr>
          <c:invertIfNegative val="0"/>
          <c:cat>
            <c:strRef>
              <c:f>'Task 1_ESG Roadmap'!$C$52:$H$52</c:f>
            </c:strRef>
          </c:cat>
          <c:val>
            <c:numRef>
              <c:f>'Task 1_ESG Roadmap'!$C$73:$H$73</c:f>
              <c:numCache/>
            </c:numRef>
          </c:val>
        </c:ser>
        <c:axId val="407879464"/>
        <c:axId val="1673260426"/>
      </c:barChart>
      <c:lineChart>
        <c:varyColors val="0"/>
        <c:ser>
          <c:idx val="1"/>
          <c:order val="1"/>
          <c:tx>
            <c:v>Buyer cap, Table 4 (t)</c:v>
          </c:tx>
          <c:spPr>
            <a:ln cmpd="sng" w="19050">
              <a:solidFill>
                <a:srgbClr val="C00000">
                  <a:alpha val="100000"/>
                </a:srgbClr>
              </a:solidFill>
              <a:prstDash val="dash"/>
            </a:ln>
          </c:spPr>
          <c:marker>
            <c:symbol val="none"/>
          </c:marker>
          <c:cat>
            <c:strRef>
              <c:f>'Task 1_ESG Roadmap'!$C$52:$H$52</c:f>
            </c:strRef>
          </c:cat>
          <c:val>
            <c:numRef>
              <c:f>'Task 1_ESG Roadmap'!$C$58:$H$58</c:f>
              <c:numCache/>
            </c:numRef>
          </c:val>
          <c:smooth val="0"/>
        </c:ser>
        <c:axId val="407879464"/>
        <c:axId val="1673260426"/>
      </c:lineChart>
      <c:catAx>
        <c:axId val="4078794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404040"/>
                </a:solidFill>
                <a:latin typeface="Cambria"/>
              </a:defRPr>
            </a:pPr>
          </a:p>
        </c:txPr>
        <c:crossAx val="1673260426"/>
      </c:catAx>
      <c:valAx>
        <c:axId val="16732604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900">
                <a:solidFill>
                  <a:srgbClr val="404040"/>
                </a:solidFill>
                <a:latin typeface="Cambria"/>
              </a:defRPr>
            </a:pPr>
          </a:p>
        </c:txPr>
        <c:crossAx val="407879464"/>
      </c:valAx>
      <c:lineChart>
        <c:varyColors val="0"/>
        <c:ser>
          <c:idx val="2"/>
          <c:order val="2"/>
          <c:tx>
            <c:v>Biomass share of heat (right axis)</c:v>
          </c:tx>
          <c:spPr>
            <a:ln cmpd="sng" w="9525">
              <a:solidFill>
                <a:srgbClr val="70AD47">
                  <a:alpha val="100000"/>
                </a:srgbClr>
              </a:solidFill>
              <a:prstDash val="solid"/>
            </a:ln>
          </c:spPr>
          <c:marker>
            <c:symbol val="none"/>
          </c:marker>
          <c:cat>
            <c:strRef>
              <c:f>'Task 1_ESG Roadmap'!$C$52:$H$52</c:f>
            </c:strRef>
          </c:cat>
          <c:val>
            <c:numRef>
              <c:f>'Task 1_ESG Roadmap'!$C$65:$H$65</c:f>
              <c:numCache/>
            </c:numRef>
          </c:val>
          <c:smooth val="0"/>
        </c:ser>
        <c:axId val="754784166"/>
        <c:axId val="836041571"/>
      </c:lineChart>
      <c:catAx>
        <c:axId val="754784166"/>
        <c:scaling>
          <c:orientation val="minMax"/>
        </c:scaling>
        <c:delete val="1"/>
        <c:axPos val="b"/>
        <c:numFmt formatCode="General" sourceLinked="1"/>
        <c:majorTickMark val="none"/>
        <c:minorTickMark val="none"/>
        <c:spPr>
          <a:ln>
            <a:noFill/>
          </a:ln>
        </c:spPr>
        <c:txPr>
          <a:bodyPr/>
          <a:lstStyle/>
          <a:p>
            <a:pPr lvl="0">
              <a:defRPr b="0" i="0" sz="900">
                <a:solidFill>
                  <a:srgbClr val="404040"/>
                </a:solidFill>
                <a:latin typeface="Cambria"/>
              </a:defRPr>
            </a:pPr>
          </a:p>
        </c:txPr>
        <c:crossAx val="836041571"/>
      </c:catAx>
      <c:valAx>
        <c:axId val="836041571"/>
        <c:scaling>
          <c:orientation val="minMax"/>
          <c:max val="1.0"/>
          <c:min val="0.0"/>
        </c:scaling>
        <c:delete val="0"/>
        <c:axPos val="r"/>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900">
                <a:solidFill>
                  <a:srgbClr val="404040"/>
                </a:solidFill>
                <a:latin typeface="Cambria"/>
              </a:defRPr>
            </a:pPr>
          </a:p>
        </c:txPr>
        <c:crossAx val="754784166"/>
        <c:crosses val="max"/>
      </c:valAx>
    </c:plotArea>
    <c:legend>
      <c:legendPos val="b"/>
      <c:layout>
        <c:manualLayout>
          <c:xMode val="edge"/>
          <c:yMode val="edge"/>
          <c:x val="0.03"/>
          <c:y val="0.84"/>
        </c:manualLayout>
      </c:layout>
      <c:overlay val="0"/>
      <c:txPr>
        <a:bodyPr/>
        <a:lstStyle/>
        <a:p>
          <a:pPr lvl="0">
            <a:defRPr b="0" i="0" sz="900">
              <a:solidFill>
                <a:srgbClr val="404040"/>
              </a:solidFill>
              <a:latin typeface="Cambria"/>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17365D"/>
                </a:solidFill>
                <a:latin typeface="Cambria"/>
              </a:defRPr>
            </a:pPr>
            <a:r>
              <a:rPr b="1" i="0" sz="1100">
                <a:solidFill>
                  <a:srgbClr val="17365D"/>
                </a:solidFill>
                <a:latin typeface="Cambria"/>
              </a:rPr>
              <a:t>From CAPEX to net book value: depreciation by tranche (USD)</a:t>
            </a:r>
          </a:p>
        </c:rich>
      </c:tx>
      <c:overlay val="0"/>
    </c:title>
    <c:plotArea>
      <c:layout/>
      <c:barChart>
        <c:barDir val="col"/>
        <c:grouping val="stacked"/>
        <c:ser>
          <c:idx val="0"/>
          <c:order val="0"/>
          <c:tx>
            <c:v>Chart helper: invisible base</c:v>
          </c:tx>
          <c:spPr>
            <a:solidFill>
              <a:schemeClr val="accent1"/>
            </a:solidFill>
            <a:ln cmpd="sng">
              <a:noFill/>
            </a:ln>
          </c:spPr>
          <c:invertIfNegative val="0"/>
          <c:cat>
            <c:strRef>
              <c:f>'Task 1_ESG Roadmap'!$C$133:$J$133</c:f>
            </c:strRef>
          </c:cat>
          <c:val>
            <c:numRef>
              <c:f>'Task 1_ESG Roadmap'!$C$135:$J$135</c:f>
              <c:numCache/>
            </c:numRef>
          </c:val>
        </c:ser>
        <c:ser>
          <c:idx val="1"/>
          <c:order val="1"/>
          <c:tx>
            <c:v>Chart helper: visible bar (addition, depreciation or closing NBV)</c:v>
          </c:tx>
          <c:spPr>
            <a:solidFill>
              <a:srgbClr val="A6A6A6"/>
            </a:solidFill>
            <a:ln cmpd="sng">
              <a:noFill/>
            </a:ln>
          </c:spPr>
          <c:invertIfNegative val="0"/>
          <c:dPt>
            <c:idx val="0"/>
            <c:spPr>
              <a:solidFill>
                <a:srgbClr val="17365D"/>
              </a:solidFill>
              <a:ln cmpd="sng">
                <a:noFill/>
              </a:ln>
            </c:spPr>
          </c:dPt>
          <c:dPt>
            <c:idx val="2"/>
            <c:spPr>
              <a:solidFill>
                <a:srgbClr val="8EA9DB"/>
              </a:solidFill>
              <a:ln cmpd="sng">
                <a:noFill/>
              </a:ln>
            </c:spPr>
          </c:dPt>
          <c:dPt>
            <c:idx val="7"/>
            <c:spPr>
              <a:solidFill>
                <a:srgbClr val="C9A227"/>
              </a:solidFill>
              <a:ln cmpd="sng">
                <a:noFill/>
              </a:ln>
            </c:spPr>
          </c:dPt>
          <c:dLbls>
            <c:dLbl>
              <c:idx val="0"/>
              <c:numFmt formatCode="#,##0.0,&quot;k&quot;" sourceLinked="0"/>
              <c:txPr>
                <a:bodyPr/>
                <a:lstStyle/>
                <a:p>
                  <a:pPr lvl="0">
                    <a:defRPr b="1" i="0" sz="800">
                      <a:solidFill>
                        <a:srgbClr val="FFFFFF"/>
                      </a:solidFill>
                      <a:latin typeface="Cambria"/>
                    </a:defRPr>
                  </a:pPr>
                </a:p>
              </c:txPr>
              <c:showLegendKey val="0"/>
              <c:showVal val="1"/>
              <c:showCatName val="0"/>
              <c:showSerName val="0"/>
              <c:showPercent val="0"/>
              <c:showBubbleSize val="0"/>
            </c:dLbl>
            <c:numFmt formatCode="#,##0.0,&quot;k&quot;" sourceLinked="0"/>
            <c:txPr>
              <a:bodyPr/>
              <a:lstStyle/>
              <a:p>
                <a:pPr lvl="0">
                  <a:defRPr b="1" i="0" sz="800">
                    <a:solidFill>
                      <a:srgbClr val="1F1F1F"/>
                    </a:solidFill>
                    <a:latin typeface="Cambria"/>
                  </a:defRPr>
                </a:pPr>
              </a:p>
            </c:txPr>
            <c:showLegendKey val="0"/>
            <c:showVal val="1"/>
            <c:showCatName val="0"/>
            <c:showSerName val="0"/>
            <c:showPercent val="0"/>
            <c:showBubbleSize val="0"/>
          </c:dLbls>
          <c:cat>
            <c:strRef>
              <c:f>'Task 1_ESG Roadmap'!$C$133:$J$133</c:f>
            </c:strRef>
          </c:cat>
          <c:val>
            <c:numRef>
              <c:f>'Task 1_ESG Roadmap'!$C$136:$J$136</c:f>
              <c:numCache/>
            </c:numRef>
          </c:val>
        </c:ser>
        <c:overlap val="100"/>
        <c:axId val="129861993"/>
        <c:axId val="1141381143"/>
      </c:barChart>
      <c:catAx>
        <c:axId val="1298619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404040"/>
                </a:solidFill>
                <a:latin typeface="Cambria"/>
              </a:defRPr>
            </a:pPr>
          </a:p>
        </c:txPr>
        <c:crossAx val="1141381143"/>
      </c:catAx>
      <c:valAx>
        <c:axId val="1141381143"/>
        <c:scaling>
          <c:orientation val="minMax"/>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a:noFill/>
          </a:ln>
        </c:spPr>
        <c:txPr>
          <a:bodyPr/>
          <a:lstStyle/>
          <a:p>
            <a:pPr lvl="0">
              <a:defRPr b="0" i="0" sz="900">
                <a:solidFill>
                  <a:srgbClr val="404040"/>
                </a:solidFill>
                <a:latin typeface="Cambria"/>
              </a:defRPr>
            </a:pPr>
          </a:p>
        </c:txPr>
        <c:crossAx val="129861993"/>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chemeClr val="dk1"/>
                </a:solidFill>
                <a:latin typeface="+mn-lt"/>
              </a:defRPr>
            </a:pPr>
            <a:r>
              <a:rPr b="1" i="0" sz="1400">
                <a:solidFill>
                  <a:schemeClr val="dk1"/>
                </a:solidFill>
                <a:latin typeface="+mn-lt"/>
              </a:rPr>
              <a:t>Heat mix by fuel: from coal to biomass (rice husk + wood pellet), 2026–2031</a:t>
            </a:r>
          </a:p>
        </c:rich>
      </c:tx>
      <c:overlay val="0"/>
    </c:title>
    <c:plotArea>
      <c:layout/>
      <c:barChart>
        <c:barDir val="col"/>
        <c:grouping val="percentStacked"/>
        <c:ser>
          <c:idx val="0"/>
          <c:order val="0"/>
          <c:tx>
            <c:v>Coal</c:v>
          </c:tx>
          <c:spPr>
            <a:solidFill>
              <a:schemeClr val="accent1"/>
            </a:solidFill>
            <a:ln cmpd="sng">
              <a:noFill/>
            </a:ln>
          </c:spPr>
          <c:invertIfNegative val="0"/>
          <c:dLbls>
            <c:numFmt formatCode="0%;;;" sourceLinked="0"/>
            <c:txPr>
              <a:bodyPr/>
              <a:lstStyle/>
              <a:p>
                <a:pPr lvl="0">
                  <a:defRPr b="0" i="0" sz="900">
                    <a:solidFill>
                      <a:srgbClr val="000000"/>
                    </a:solidFill>
                    <a:latin typeface="+mn-lt"/>
                  </a:defRPr>
                </a:pPr>
              </a:p>
            </c:txPr>
            <c:showLegendKey val="0"/>
            <c:showVal val="1"/>
            <c:showCatName val="0"/>
            <c:showSerName val="0"/>
            <c:showPercent val="0"/>
            <c:showBubbleSize val="0"/>
          </c:dLbls>
          <c:cat>
            <c:strRef>
              <c:f>'Task 1_ESG Roadmap'!$C$128:$H$128</c:f>
            </c:strRef>
          </c:cat>
          <c:val>
            <c:numRef>
              <c:f>'Task 1_ESG Roadmap'!$C$129:$H$129</c:f>
              <c:numCache/>
            </c:numRef>
          </c:val>
        </c:ser>
        <c:ser>
          <c:idx val="1"/>
          <c:order val="1"/>
          <c:tx>
            <c:v>Rice husk pellet</c:v>
          </c:tx>
          <c:spPr>
            <a:solidFill>
              <a:schemeClr val="accent2"/>
            </a:solidFill>
            <a:ln cmpd="sng">
              <a:noFill/>
            </a:ln>
          </c:spPr>
          <c:invertIfNegative val="0"/>
          <c:dLbls>
            <c:numFmt formatCode="0%;;;" sourceLinked="0"/>
            <c:txPr>
              <a:bodyPr/>
              <a:lstStyle/>
              <a:p>
                <a:pPr lvl="0">
                  <a:defRPr b="0" i="0" sz="900">
                    <a:solidFill>
                      <a:srgbClr val="000000"/>
                    </a:solidFill>
                    <a:latin typeface="+mn-lt"/>
                  </a:defRPr>
                </a:pPr>
              </a:p>
            </c:txPr>
            <c:showLegendKey val="0"/>
            <c:showVal val="1"/>
            <c:showCatName val="0"/>
            <c:showSerName val="0"/>
            <c:showPercent val="0"/>
            <c:showBubbleSize val="0"/>
          </c:dLbls>
          <c:cat>
            <c:strRef>
              <c:f>'Task 1_ESG Roadmap'!$C$128:$H$128</c:f>
            </c:strRef>
          </c:cat>
          <c:val>
            <c:numRef>
              <c:f>'Task 1_ESG Roadmap'!$C$130:$H$130</c:f>
              <c:numCache/>
            </c:numRef>
          </c:val>
        </c:ser>
        <c:ser>
          <c:idx val="2"/>
          <c:order val="2"/>
          <c:tx>
            <c:v>Wood pellet</c:v>
          </c:tx>
          <c:spPr>
            <a:solidFill>
              <a:schemeClr val="accent3"/>
            </a:solidFill>
            <a:ln cmpd="sng">
              <a:noFill/>
            </a:ln>
          </c:spPr>
          <c:invertIfNegative val="0"/>
          <c:dLbls>
            <c:numFmt formatCode="0%;;;" sourceLinked="0"/>
            <c:txPr>
              <a:bodyPr/>
              <a:lstStyle/>
              <a:p>
                <a:pPr lvl="0">
                  <a:defRPr b="0" i="0" sz="900">
                    <a:solidFill>
                      <a:srgbClr val="000000"/>
                    </a:solidFill>
                    <a:latin typeface="+mn-lt"/>
                  </a:defRPr>
                </a:pPr>
              </a:p>
            </c:txPr>
            <c:showLegendKey val="0"/>
            <c:showVal val="1"/>
            <c:showCatName val="0"/>
            <c:showSerName val="0"/>
            <c:showPercent val="0"/>
            <c:showBubbleSize val="0"/>
          </c:dLbls>
          <c:cat>
            <c:strRef>
              <c:f>'Task 1_ESG Roadmap'!$C$128:$H$128</c:f>
            </c:strRef>
          </c:cat>
          <c:val>
            <c:numRef>
              <c:f>'Task 1_ESG Roadmap'!$C$131:$H$131</c:f>
              <c:numCache/>
            </c:numRef>
          </c:val>
        </c:ser>
        <c:overlap val="100"/>
        <c:axId val="805817740"/>
        <c:axId val="1783188955"/>
      </c:barChart>
      <c:catAx>
        <c:axId val="8058177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chemeClr val="dk1"/>
                </a:solidFill>
                <a:latin typeface="+mn-lt"/>
              </a:defRPr>
            </a:pPr>
          </a:p>
        </c:txPr>
        <c:crossAx val="1783188955"/>
      </c:catAx>
      <c:valAx>
        <c:axId val="1783188955"/>
        <c:scaling>
          <c:orientation val="minMax"/>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900">
                <a:solidFill>
                  <a:schemeClr val="dk1"/>
                </a:solidFill>
                <a:latin typeface="+mn-lt"/>
              </a:defRPr>
            </a:pPr>
          </a:p>
        </c:txPr>
        <c:crossAx val="805817740"/>
      </c:valAx>
    </c:plotArea>
    <c:legend>
      <c:legendPos val="b"/>
      <c:overlay val="0"/>
      <c:txPr>
        <a:bodyPr/>
        <a:lstStyle/>
        <a:p>
          <a:pPr lvl="0">
            <a:defRPr b="0" i="0" sz="900">
              <a:solidFill>
                <a:schemeClr val="dk1"/>
              </a:solidFill>
              <a:latin typeface="+mn-lt"/>
            </a:defRPr>
          </a:pPr>
        </a:p>
      </c:txPr>
    </c:legend>
    <c:plotVisOnly val="1"/>
  </c:chart>
  <c:spPr>
    <a:solidFill>
      <a:schemeClr val="l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17365D"/>
                </a:solidFill>
                <a:latin typeface="Cambria"/>
              </a:defRPr>
            </a:pPr>
            <a:r>
              <a:rPr b="1" i="0" sz="1100">
                <a:solidFill>
                  <a:srgbClr val="17365D"/>
                </a:solidFill>
                <a:latin typeface="Cambria"/>
              </a:rPr>
              <a:t>Orders, risk-adjusted demand, carbon capacity and realized sales (pcs)</a:t>
            </a:r>
          </a:p>
        </c:rich>
      </c:tx>
      <c:overlay val="0"/>
    </c:title>
    <c:plotArea>
      <c:layout/>
      <c:barChart>
        <c:barDir val="col"/>
        <c:varyColors val="0"/>
        <c:ser>
          <c:idx val="0"/>
          <c:order val="0"/>
          <c:tx>
            <c:v>Realized sales</c:v>
          </c:tx>
          <c:spPr>
            <a:solidFill>
              <a:srgbClr val="17365D"/>
            </a:solidFill>
            <a:ln cmpd="sng">
              <a:noFill/>
            </a:ln>
          </c:spPr>
          <c:invertIfNegative val="0"/>
          <c:cat>
            <c:strRef>
              <c:f>'Task 2_Conversion &amp; Forecast'!$C$9:$H$9</c:f>
            </c:strRef>
          </c:cat>
          <c:val>
            <c:numRef>
              <c:f>'Task 2_Conversion &amp; Forecast'!$C$19:$H$19</c:f>
              <c:numCache/>
            </c:numRef>
          </c:val>
        </c:ser>
        <c:axId val="927883867"/>
        <c:axId val="1534716797"/>
      </c:barChart>
      <c:lineChart>
        <c:ser>
          <c:idx val="1"/>
          <c:order val="1"/>
          <c:tx>
            <c:v>Potential / forecast orders</c:v>
          </c:tx>
          <c:spPr>
            <a:ln cmpd="sng" w="9525">
              <a:solidFill>
                <a:srgbClr val="7F7F7F">
                  <a:alpha val="100000"/>
                </a:srgbClr>
              </a:solidFill>
              <a:prstDash val="dash"/>
            </a:ln>
          </c:spPr>
          <c:marker>
            <c:symbol val="none"/>
          </c:marker>
          <c:cat>
            <c:strRef>
              <c:f>'Task 2_Conversion &amp; Forecast'!$C$9:$H$9</c:f>
            </c:strRef>
          </c:cat>
          <c:val>
            <c:numRef>
              <c:f>'Task 2_Conversion &amp; Forecast'!$C$11:$H$11</c:f>
              <c:numCache/>
            </c:numRef>
          </c:val>
          <c:smooth val="0"/>
        </c:ser>
        <c:ser>
          <c:idx val="2"/>
          <c:order val="2"/>
          <c:tx>
            <c:v>Risk-adjusted demand</c:v>
          </c:tx>
          <c:spPr>
            <a:ln cmpd="sng" w="9525">
              <a:solidFill>
                <a:srgbClr val="2F75B5">
                  <a:alpha val="100000"/>
                </a:srgbClr>
              </a:solidFill>
              <a:prstDash val="solid"/>
            </a:ln>
          </c:spPr>
          <c:marker>
            <c:symbol val="none"/>
          </c:marker>
          <c:cat>
            <c:strRef>
              <c:f>'Task 2_Conversion &amp; Forecast'!$C$9:$H$9</c:f>
            </c:strRef>
          </c:cat>
          <c:val>
            <c:numRef>
              <c:f>'Task 2_Conversion &amp; Forecast'!$C$13:$H$13</c:f>
              <c:numCache/>
            </c:numRef>
          </c:val>
          <c:smooth val="0"/>
        </c:ser>
        <c:ser>
          <c:idx val="3"/>
          <c:order val="3"/>
          <c:tx>
            <c:v>Carbon-allowed capacity</c:v>
          </c:tx>
          <c:spPr>
            <a:ln cmpd="sng" w="19050">
              <a:solidFill>
                <a:srgbClr val="C00000">
                  <a:alpha val="100000"/>
                </a:srgbClr>
              </a:solidFill>
              <a:prstDash val="sysDot"/>
            </a:ln>
          </c:spPr>
          <c:marker>
            <c:symbol val="none"/>
          </c:marker>
          <c:cat>
            <c:strRef>
              <c:f>'Task 2_Conversion &amp; Forecast'!$C$9:$H$9</c:f>
            </c:strRef>
          </c:cat>
          <c:val>
            <c:numRef>
              <c:f>'Task 2_Conversion &amp; Forecast'!$C$18:$H$18</c:f>
              <c:numCache/>
            </c:numRef>
          </c:val>
          <c:smooth val="0"/>
        </c:ser>
        <c:axId val="927883867"/>
        <c:axId val="1534716797"/>
      </c:lineChart>
      <c:catAx>
        <c:axId val="9278838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404040"/>
                </a:solidFill>
                <a:latin typeface="Cambria"/>
              </a:defRPr>
            </a:pPr>
          </a:p>
        </c:txPr>
        <c:crossAx val="1534716797"/>
      </c:catAx>
      <c:valAx>
        <c:axId val="1534716797"/>
        <c:scaling>
          <c:orientation val="minMax"/>
          <c:min val="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quot;M&quot;" sourceLinked="0"/>
        <c:majorTickMark val="none"/>
        <c:minorTickMark val="none"/>
        <c:tickLblPos val="nextTo"/>
        <c:spPr>
          <a:ln>
            <a:noFill/>
          </a:ln>
        </c:spPr>
        <c:txPr>
          <a:bodyPr/>
          <a:lstStyle/>
          <a:p>
            <a:pPr lvl="0">
              <a:defRPr b="0" i="0" sz="900">
                <a:solidFill>
                  <a:srgbClr val="404040"/>
                </a:solidFill>
                <a:latin typeface="Cambria"/>
              </a:defRPr>
            </a:pPr>
          </a:p>
        </c:txPr>
        <c:crossAx val="927883867"/>
      </c:valAx>
    </c:plotArea>
    <c:legend>
      <c:legendPos val="b"/>
      <c:layout>
        <c:manualLayout>
          <c:xMode val="edge"/>
          <c:yMode val="edge"/>
          <c:x val="0.03"/>
          <c:y val="0.84"/>
        </c:manualLayout>
      </c:layout>
      <c:overlay val="0"/>
      <c:txPr>
        <a:bodyPr/>
        <a:lstStyle/>
        <a:p>
          <a:pPr lvl="0">
            <a:defRPr b="0" i="0" sz="900">
              <a:solidFill>
                <a:srgbClr val="404040"/>
              </a:solidFill>
              <a:latin typeface="Cambria"/>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Calibri"/>
              </a:defRPr>
            </a:pPr>
            <a:r>
              <a:rPr b="1" i="0" sz="1800">
                <a:solidFill>
                  <a:srgbClr val="757575"/>
                </a:solidFill>
                <a:latin typeface="Calibri"/>
              </a:rPr>
              <a:t>Sales Volume Outlook: ESG vs Traditional</a:t>
            </a:r>
          </a:p>
        </c:rich>
      </c:tx>
      <c:overlay val="0"/>
    </c:title>
    <c:plotArea>
      <c:layout/>
      <c:lineChart>
        <c:ser>
          <c:idx val="0"/>
          <c:order val="0"/>
          <c:tx>
            <c:v>Actual 2026</c:v>
          </c:tx>
          <c:spPr>
            <a:ln cmpd="sng">
              <a:solidFill>
                <a:srgbClr val="4F81BD"/>
              </a:solidFill>
            </a:ln>
          </c:spPr>
          <c:marker>
            <c:symbol val="none"/>
          </c:marker>
          <c:cat>
            <c:strRef>
              <c:f>'Sales Forecast &amp; Case 2A KPI'!$F$6:$F$9</c:f>
            </c:strRef>
          </c:cat>
          <c:val>
            <c:numRef>
              <c:f>'Sales Forecast &amp; Case 2A KPI'!$G$6:$G$9</c:f>
              <c:numCache/>
            </c:numRef>
          </c:val>
          <c:smooth val="1"/>
        </c:ser>
        <c:axId val="485725742"/>
        <c:axId val="757520248"/>
      </c:lineChart>
      <c:catAx>
        <c:axId val="48572574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757520248"/>
      </c:catAx>
      <c:valAx>
        <c:axId val="757520248"/>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485725742"/>
      </c:valAx>
    </c:plotArea>
    <c:legend>
      <c:legendPos val="b"/>
      <c:overlay val="0"/>
      <c:txPr>
        <a:bodyPr/>
        <a:lstStyle/>
        <a:p>
          <a:pPr lvl="0">
            <a:defRPr b="0" i="0" sz="1000">
              <a:solidFill>
                <a:srgbClr val="1A1A1A"/>
              </a:solidFill>
              <a:latin typeface="Calibri"/>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Calibri"/>
              </a:defRPr>
            </a:pPr>
            <a:r>
              <a:rPr b="1" i="0" sz="1800">
                <a:solidFill>
                  <a:srgbClr val="757575"/>
                </a:solidFill>
                <a:latin typeface="Calibri"/>
              </a:rPr>
              <a:t>LSC Maximum Emission Index (2026 = 100)</a:t>
            </a:r>
          </a:p>
        </c:rich>
      </c:tx>
      <c:overlay val="0"/>
    </c:title>
    <c:plotArea>
      <c:layout/>
      <c:lineChart>
        <c:varyColors val="0"/>
        <c:ser>
          <c:idx val="0"/>
          <c:order val="0"/>
          <c:tx>
            <c:v>Maximum Emission Index</c:v>
          </c:tx>
          <c:spPr>
            <a:ln cmpd="sng">
              <a:solidFill>
                <a:srgbClr val="4F81BD"/>
              </a:solidFill>
            </a:ln>
          </c:spPr>
          <c:marker>
            <c:symbol val="none"/>
          </c:marker>
          <c:cat>
            <c:strRef>
              <c:f>'Emission Target'!$A$6:$A$11</c:f>
            </c:strRef>
          </c:cat>
          <c:val>
            <c:numRef>
              <c:f>'Emission Target'!$B$6:$B$11</c:f>
              <c:numCache/>
            </c:numRef>
          </c:val>
          <c:smooth val="1"/>
        </c:ser>
        <c:axId val="1355608457"/>
        <c:axId val="1361581770"/>
      </c:lineChart>
      <c:catAx>
        <c:axId val="1355608457"/>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361581770"/>
      </c:catAx>
      <c:valAx>
        <c:axId val="1361581770"/>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355608457"/>
      </c:valAx>
    </c:plotArea>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30</xdr:row>
      <xdr:rowOff>66675</xdr:rowOff>
    </xdr:from>
    <xdr:ext cx="6477000" cy="2876550"/>
    <xdr:graphicFrame>
      <xdr:nvGraphicFramePr>
        <xdr:cNvPr id="980153928"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51</xdr:row>
      <xdr:rowOff>161925</xdr:rowOff>
    </xdr:from>
    <xdr:ext cx="5572125" cy="3057525"/>
    <xdr:graphicFrame>
      <xdr:nvGraphicFramePr>
        <xdr:cNvPr id="1240952286"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409575</xdr:colOff>
      <xdr:row>87</xdr:row>
      <xdr:rowOff>114300</xdr:rowOff>
    </xdr:from>
    <xdr:ext cx="5857875" cy="3400425"/>
    <xdr:graphicFrame>
      <xdr:nvGraphicFramePr>
        <xdr:cNvPr id="173423805"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0</xdr:colOff>
      <xdr:row>65</xdr:row>
      <xdr:rowOff>0</xdr:rowOff>
    </xdr:from>
    <xdr:ext cx="5572125" cy="3057525"/>
    <xdr:graphicFrame>
      <xdr:nvGraphicFramePr>
        <xdr:cNvPr id="1116590525" name="Chart 5"/>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xdr:colOff>
      <xdr:row>8</xdr:row>
      <xdr:rowOff>114300</xdr:rowOff>
    </xdr:from>
    <xdr:ext cx="7191375" cy="3238500"/>
    <xdr:graphicFrame>
      <xdr:nvGraphicFramePr>
        <xdr:cNvPr id="139077678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38</xdr:row>
      <xdr:rowOff>0</xdr:rowOff>
    </xdr:from>
    <xdr:ext cx="7543800" cy="3086100"/>
    <xdr:graphicFrame>
      <xdr:nvGraphicFramePr>
        <xdr:cNvPr id="1388286241"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xdr:row>
      <xdr:rowOff>0</xdr:rowOff>
    </xdr:from>
    <xdr:ext cx="5829300" cy="3848100"/>
    <xdr:graphicFrame>
      <xdr:nvGraphicFramePr>
        <xdr:cNvPr id="506784317"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11/j.1435-5597.1960.tb01705.x" TargetMode="External"/><Relationship Id="rId2" Type="http://schemas.openxmlformats.org/officeDocument/2006/relationships/hyperlink" Target="https://doi.org/10.1111/j.1435-5597.1960.tb01705.x"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tatic.fireant.vn/Upload/AttachedFiles/MSH.pdf" TargetMode="External"/><Relationship Id="rId2" Type="http://schemas.openxmlformats.org/officeDocument/2006/relationships/hyperlink" Target="https://www.bsc.com.vn/en/bao-cao/15523-x-stock-tng-vnd25500-21-secured-orderbook" TargetMode="External"/><Relationship Id="rId3" Type="http://schemas.openxmlformats.org/officeDocument/2006/relationships/hyperlink" Target="https://luatvietnam.vn/thue-phi-le-phi/thue-suat-thue-tndn-moi-nhat-theo-luat-so-67-2025-qh15-565-104201-article.html" TargetMode="External"/><Relationship Id="rId4" Type="http://schemas.openxmlformats.org/officeDocument/2006/relationships/hyperlink" Target="https://static.fireant.vn/Upload/AttachedFiles/MSH.pdf" TargetMode="External"/><Relationship Id="rId9" Type="http://schemas.openxmlformats.org/officeDocument/2006/relationships/drawing" Target="../drawings/drawing7.xml"/><Relationship Id="rId5" Type="http://schemas.openxmlformats.org/officeDocument/2006/relationships/hyperlink" Target="https://luatvietnam.vn/thue-phi-le-phi/thue-suat-thue-tndn-moi-nhat-theo-luat-so-67-2025-qh15-565-104201-article.html" TargetMode="External"/><Relationship Id="rId6" Type="http://schemas.openxmlformats.org/officeDocument/2006/relationships/hyperlink" Target="https://static.fireant.vn/Upload/AttachedFiles/MSH.pdf" TargetMode="External"/><Relationship Id="rId7" Type="http://schemas.openxmlformats.org/officeDocument/2006/relationships/hyperlink" Target="https://www.bsc.com.vn/en/bao-cao/15523-x-stock-tng-vnd25500-21-secured-orderbook" TargetMode="External"/><Relationship Id="rId8" Type="http://schemas.openxmlformats.org/officeDocument/2006/relationships/hyperlink" Target="https://luatvietnam.vn/thue-phi-le-phi/thue-suat-thue-tndn-moi-nhat-theo-luat-so-67-2025-qh15-565-104201-article.htm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enken.io/academy/understanding-carbon-markets/carbon-credit-price" TargetMode="External"/><Relationship Id="rId2" Type="http://schemas.openxmlformats.org/officeDocument/2006/relationships/hyperlink" Target="https://www.regreener.earth/blog/voluntary-carbon-market-update" TargetMode="External"/><Relationship Id="rId3" Type="http://schemas.openxmlformats.org/officeDocument/2006/relationships/hyperlink" Target="https://www.spglobal.com/energy/en/news-research/latest-news/natural-gas/100526-european-carbon-prices-drop-to-7-week-low-as-market-eyes-upcoming-policy-agenda" TargetMode="External"/><Relationship Id="rId4" Type="http://schemas.openxmlformats.org/officeDocument/2006/relationships/hyperlink" Target="https://en.vneconomy.vn/legal-framework-for-carbon-market-to-be-finalized.htm"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61.57"/>
    <col customWidth="1" min="3" max="3" width="9.0"/>
    <col customWidth="1" min="4" max="4" width="15.86"/>
    <col customWidth="1" min="5" max="5" width="13.57"/>
    <col customWidth="1" min="6" max="6" width="16.43"/>
    <col customWidth="1" min="7" max="7" width="14.0"/>
    <col customWidth="1" min="8" max="22" width="9.0"/>
  </cols>
  <sheetData>
    <row r="1">
      <c r="A1" s="29" t="s">
        <v>67</v>
      </c>
      <c r="B1" s="6"/>
      <c r="C1" s="7"/>
      <c r="D1" s="30"/>
      <c r="E1" s="30"/>
      <c r="F1" s="30"/>
      <c r="G1" s="30"/>
      <c r="H1" s="7"/>
      <c r="I1" s="7"/>
      <c r="J1" s="7"/>
      <c r="K1" s="7"/>
      <c r="L1" s="7"/>
      <c r="M1" s="7"/>
      <c r="N1" s="7"/>
      <c r="O1" s="7"/>
      <c r="P1" s="7"/>
      <c r="Q1" s="7"/>
      <c r="R1" s="7"/>
      <c r="S1" s="7"/>
      <c r="T1" s="7"/>
      <c r="U1" s="7"/>
      <c r="V1" s="7"/>
      <c r="W1" s="7"/>
      <c r="X1" s="7"/>
      <c r="Y1" s="7"/>
      <c r="Z1" s="7"/>
    </row>
    <row r="2">
      <c r="A2" s="31" t="s">
        <v>68</v>
      </c>
      <c r="B2" s="31" t="s">
        <v>69</v>
      </c>
      <c r="C2" s="7"/>
      <c r="D2" s="30"/>
      <c r="E2" s="30"/>
      <c r="F2" s="30"/>
      <c r="G2" s="30"/>
      <c r="H2" s="7"/>
      <c r="I2" s="7"/>
      <c r="J2" s="7"/>
      <c r="K2" s="7"/>
      <c r="L2" s="7"/>
      <c r="M2" s="7"/>
      <c r="N2" s="7"/>
      <c r="O2" s="7"/>
      <c r="P2" s="7"/>
      <c r="Q2" s="7"/>
      <c r="R2" s="7"/>
      <c r="S2" s="7"/>
      <c r="T2" s="7"/>
      <c r="U2" s="7"/>
      <c r="V2" s="7"/>
      <c r="W2" s="7"/>
      <c r="X2" s="7"/>
      <c r="Y2" s="7"/>
      <c r="Z2" s="7"/>
    </row>
    <row r="3">
      <c r="A3" s="22" t="s">
        <v>70</v>
      </c>
      <c r="B3" s="22" t="s">
        <v>71</v>
      </c>
      <c r="C3" s="7"/>
      <c r="D3" s="30"/>
      <c r="E3" s="30"/>
      <c r="F3" s="30"/>
      <c r="G3" s="30"/>
      <c r="H3" s="7"/>
      <c r="I3" s="7"/>
      <c r="J3" s="7"/>
      <c r="K3" s="7"/>
      <c r="L3" s="7"/>
      <c r="M3" s="7"/>
      <c r="N3" s="7"/>
      <c r="O3" s="7"/>
      <c r="P3" s="7"/>
      <c r="Q3" s="7"/>
      <c r="R3" s="7"/>
      <c r="S3" s="7"/>
      <c r="T3" s="7"/>
      <c r="U3" s="7"/>
      <c r="V3" s="7"/>
      <c r="W3" s="7"/>
      <c r="X3" s="7"/>
      <c r="Y3" s="7"/>
      <c r="Z3" s="7"/>
    </row>
    <row r="4">
      <c r="A4" s="22" t="s">
        <v>72</v>
      </c>
      <c r="B4" s="22" t="s">
        <v>73</v>
      </c>
      <c r="C4" s="7"/>
      <c r="D4" s="30"/>
      <c r="E4" s="30"/>
      <c r="F4" s="30"/>
      <c r="G4" s="30"/>
      <c r="H4" s="7"/>
      <c r="I4" s="7"/>
      <c r="J4" s="7"/>
      <c r="K4" s="7"/>
      <c r="L4" s="7"/>
      <c r="M4" s="7"/>
      <c r="N4" s="7"/>
      <c r="O4" s="7"/>
      <c r="P4" s="7"/>
      <c r="Q4" s="7"/>
      <c r="R4" s="7"/>
      <c r="S4" s="7"/>
      <c r="T4" s="7"/>
      <c r="U4" s="7"/>
      <c r="V4" s="7"/>
      <c r="W4" s="7"/>
      <c r="X4" s="7"/>
      <c r="Y4" s="7"/>
      <c r="Z4" s="7"/>
    </row>
    <row r="5">
      <c r="A5" s="22" t="s">
        <v>74</v>
      </c>
      <c r="B5" s="22" t="s">
        <v>75</v>
      </c>
      <c r="C5" s="7"/>
      <c r="D5" s="30"/>
      <c r="E5" s="30"/>
      <c r="F5" s="30"/>
      <c r="G5" s="30"/>
      <c r="H5" s="7"/>
      <c r="I5" s="7"/>
      <c r="J5" s="7"/>
      <c r="K5" s="7"/>
      <c r="L5" s="7"/>
      <c r="M5" s="7"/>
      <c r="N5" s="7"/>
      <c r="O5" s="7"/>
      <c r="P5" s="7"/>
      <c r="Q5" s="7"/>
      <c r="R5" s="7"/>
      <c r="S5" s="7"/>
      <c r="T5" s="7"/>
      <c r="U5" s="7"/>
      <c r="V5" s="7"/>
      <c r="W5" s="7"/>
      <c r="X5" s="7"/>
      <c r="Y5" s="7"/>
      <c r="Z5" s="7"/>
    </row>
    <row r="6">
      <c r="A6" s="22" t="s">
        <v>76</v>
      </c>
      <c r="B6" s="22" t="s">
        <v>77</v>
      </c>
      <c r="C6" s="7"/>
      <c r="D6" s="30"/>
      <c r="E6" s="30"/>
      <c r="F6" s="30"/>
      <c r="G6" s="30"/>
      <c r="H6" s="7"/>
      <c r="I6" s="7"/>
      <c r="J6" s="7"/>
      <c r="K6" s="7"/>
      <c r="L6" s="7"/>
      <c r="M6" s="7"/>
      <c r="N6" s="7"/>
      <c r="O6" s="7"/>
      <c r="P6" s="7"/>
      <c r="Q6" s="7"/>
      <c r="R6" s="7"/>
      <c r="S6" s="7"/>
      <c r="T6" s="7"/>
      <c r="U6" s="7"/>
      <c r="V6" s="7"/>
      <c r="W6" s="7"/>
      <c r="X6" s="7"/>
      <c r="Y6" s="7"/>
      <c r="Z6" s="7"/>
    </row>
    <row r="7">
      <c r="A7" s="32" t="s">
        <v>78</v>
      </c>
      <c r="B7" s="33" t="s">
        <v>79</v>
      </c>
      <c r="C7" s="7"/>
      <c r="D7" s="30"/>
      <c r="E7" s="30"/>
      <c r="F7" s="30"/>
      <c r="G7" s="30"/>
      <c r="H7" s="7"/>
      <c r="I7" s="7"/>
      <c r="J7" s="7"/>
      <c r="K7" s="7"/>
      <c r="L7" s="7"/>
      <c r="M7" s="7"/>
      <c r="N7" s="7"/>
      <c r="O7" s="7"/>
      <c r="P7" s="7"/>
      <c r="Q7" s="7"/>
      <c r="R7" s="7"/>
      <c r="S7" s="7"/>
      <c r="T7" s="7"/>
      <c r="U7" s="7"/>
      <c r="V7" s="7"/>
      <c r="W7" s="7"/>
      <c r="X7" s="7"/>
      <c r="Y7" s="7"/>
      <c r="Z7" s="7"/>
    </row>
    <row r="8">
      <c r="A8" s="7"/>
      <c r="B8" s="7"/>
      <c r="C8" s="7"/>
      <c r="D8" s="30"/>
      <c r="E8" s="30"/>
      <c r="F8" s="30"/>
      <c r="G8" s="30"/>
      <c r="H8" s="7"/>
      <c r="I8" s="7"/>
      <c r="J8" s="7"/>
      <c r="K8" s="7"/>
      <c r="L8" s="7"/>
      <c r="M8" s="7"/>
      <c r="N8" s="7"/>
      <c r="O8" s="7"/>
      <c r="P8" s="7"/>
      <c r="Q8" s="7"/>
      <c r="R8" s="7"/>
      <c r="S8" s="7"/>
      <c r="T8" s="7"/>
      <c r="U8" s="7"/>
      <c r="V8" s="7"/>
      <c r="W8" s="7"/>
      <c r="X8" s="7"/>
      <c r="Y8" s="7"/>
      <c r="Z8" s="7"/>
    </row>
    <row r="9">
      <c r="A9" s="34" t="s">
        <v>80</v>
      </c>
      <c r="B9" s="6"/>
      <c r="C9" s="7"/>
      <c r="D9" s="30"/>
      <c r="E9" s="30"/>
      <c r="F9" s="30"/>
      <c r="G9" s="30"/>
      <c r="H9" s="7"/>
      <c r="I9" s="7"/>
      <c r="J9" s="7"/>
      <c r="K9" s="7"/>
      <c r="L9" s="7"/>
      <c r="M9" s="7"/>
      <c r="N9" s="7"/>
      <c r="O9" s="7"/>
      <c r="P9" s="7"/>
      <c r="Q9" s="7"/>
      <c r="R9" s="7"/>
      <c r="S9" s="7"/>
      <c r="T9" s="7"/>
      <c r="U9" s="7"/>
      <c r="V9" s="7"/>
      <c r="W9" s="7"/>
      <c r="X9" s="7"/>
      <c r="Y9" s="7"/>
      <c r="Z9" s="7"/>
    </row>
    <row r="10">
      <c r="A10" s="35" t="s">
        <v>81</v>
      </c>
      <c r="B10" s="35" t="s">
        <v>82</v>
      </c>
      <c r="C10" s="7"/>
      <c r="D10" s="30"/>
      <c r="E10" s="30"/>
      <c r="F10" s="30"/>
      <c r="G10" s="30"/>
      <c r="H10" s="7"/>
      <c r="I10" s="7"/>
      <c r="J10" s="7"/>
      <c r="K10" s="7"/>
      <c r="L10" s="7"/>
      <c r="M10" s="7"/>
      <c r="N10" s="7"/>
      <c r="O10" s="7"/>
      <c r="P10" s="7"/>
      <c r="Q10" s="7"/>
      <c r="R10" s="7"/>
      <c r="S10" s="7"/>
      <c r="T10" s="7"/>
      <c r="U10" s="7"/>
      <c r="V10" s="7"/>
      <c r="W10" s="7"/>
      <c r="X10" s="7"/>
      <c r="Y10" s="7"/>
      <c r="Z10" s="7"/>
    </row>
    <row r="11">
      <c r="A11" s="36" t="s">
        <v>83</v>
      </c>
      <c r="B11" s="36" t="s">
        <v>84</v>
      </c>
      <c r="C11" s="7"/>
      <c r="D11" s="7"/>
      <c r="E11" s="7"/>
      <c r="F11" s="7"/>
      <c r="G11" s="7"/>
      <c r="H11" s="7"/>
      <c r="I11" s="7"/>
      <c r="J11" s="7"/>
      <c r="K11" s="7"/>
      <c r="L11" s="7"/>
      <c r="M11" s="7"/>
      <c r="N11" s="7"/>
      <c r="O11" s="7"/>
      <c r="P11" s="7"/>
      <c r="Q11" s="7"/>
      <c r="R11" s="7"/>
      <c r="S11" s="7"/>
      <c r="T11" s="7"/>
      <c r="U11" s="7"/>
      <c r="V11" s="7"/>
      <c r="W11" s="7"/>
      <c r="X11" s="7"/>
      <c r="Y11" s="7"/>
      <c r="Z11" s="7"/>
    </row>
    <row r="12">
      <c r="A12" s="36" t="s">
        <v>85</v>
      </c>
      <c r="B12" s="36" t="s">
        <v>86</v>
      </c>
      <c r="C12" s="7"/>
      <c r="D12" s="7"/>
      <c r="E12" s="7"/>
      <c r="F12" s="7"/>
      <c r="G12" s="7"/>
      <c r="H12" s="7"/>
      <c r="I12" s="7"/>
      <c r="J12" s="7"/>
      <c r="K12" s="7"/>
      <c r="L12" s="7"/>
      <c r="M12" s="7"/>
      <c r="N12" s="7"/>
      <c r="O12" s="7"/>
      <c r="P12" s="7"/>
      <c r="Q12" s="7"/>
      <c r="R12" s="7"/>
      <c r="S12" s="7"/>
      <c r="T12" s="7"/>
      <c r="U12" s="7"/>
      <c r="V12" s="7"/>
      <c r="W12" s="7"/>
      <c r="X12" s="7"/>
      <c r="Y12" s="7"/>
      <c r="Z12" s="7"/>
    </row>
    <row r="13">
      <c r="A13" s="36" t="s">
        <v>87</v>
      </c>
      <c r="B13" s="36" t="s">
        <v>88</v>
      </c>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34" t="s">
        <v>89</v>
      </c>
      <c r="B15" s="6"/>
      <c r="C15" s="7"/>
      <c r="D15" s="7"/>
      <c r="E15" s="7"/>
      <c r="F15" s="7"/>
      <c r="G15" s="7"/>
      <c r="H15" s="7"/>
      <c r="I15" s="7"/>
      <c r="J15" s="7"/>
      <c r="K15" s="7"/>
      <c r="L15" s="7"/>
      <c r="M15" s="7"/>
      <c r="N15" s="7"/>
      <c r="O15" s="7"/>
      <c r="P15" s="7"/>
      <c r="Q15" s="7"/>
      <c r="R15" s="7"/>
      <c r="S15" s="7"/>
      <c r="T15" s="7"/>
      <c r="U15" s="7"/>
      <c r="V15" s="7"/>
      <c r="W15" s="7"/>
      <c r="X15" s="7"/>
      <c r="Y15" s="7"/>
      <c r="Z15" s="7"/>
    </row>
    <row r="16">
      <c r="A16" s="36" t="s">
        <v>90</v>
      </c>
      <c r="B16" s="36" t="s">
        <v>91</v>
      </c>
      <c r="C16" s="7"/>
      <c r="D16" s="7"/>
      <c r="E16" s="7"/>
      <c r="F16" s="7"/>
      <c r="G16" s="7"/>
      <c r="H16" s="7"/>
      <c r="I16" s="7"/>
      <c r="J16" s="7"/>
      <c r="K16" s="7"/>
      <c r="L16" s="7"/>
      <c r="M16" s="7"/>
      <c r="N16" s="7"/>
      <c r="O16" s="7"/>
      <c r="P16" s="7"/>
      <c r="Q16" s="7"/>
      <c r="R16" s="7"/>
      <c r="S16" s="7"/>
      <c r="T16" s="7"/>
      <c r="U16" s="7"/>
      <c r="V16" s="7"/>
      <c r="W16" s="7"/>
      <c r="X16" s="7"/>
      <c r="Y16" s="7"/>
      <c r="Z16" s="7"/>
    </row>
    <row r="17">
      <c r="A17" s="36" t="s">
        <v>92</v>
      </c>
      <c r="B17" s="36" t="s">
        <v>93</v>
      </c>
      <c r="C17" s="7"/>
      <c r="D17" s="7"/>
      <c r="E17" s="7"/>
      <c r="F17" s="7"/>
      <c r="G17" s="7"/>
      <c r="H17" s="7"/>
      <c r="I17" s="7"/>
      <c r="J17" s="7"/>
      <c r="K17" s="7"/>
      <c r="L17" s="7"/>
      <c r="M17" s="7"/>
      <c r="N17" s="7"/>
      <c r="O17" s="7"/>
      <c r="P17" s="7"/>
      <c r="Q17" s="7"/>
      <c r="R17" s="7"/>
      <c r="S17" s="7"/>
      <c r="T17" s="7"/>
      <c r="U17" s="7"/>
      <c r="V17" s="7"/>
      <c r="W17" s="7"/>
      <c r="X17" s="7"/>
      <c r="Y17" s="7"/>
      <c r="Z17" s="7"/>
    </row>
    <row r="18">
      <c r="A18" s="36" t="s">
        <v>94</v>
      </c>
      <c r="B18" s="36" t="s">
        <v>95</v>
      </c>
      <c r="C18" s="7"/>
      <c r="D18" s="7"/>
      <c r="E18" s="7"/>
      <c r="F18" s="7"/>
      <c r="G18" s="7"/>
      <c r="H18" s="7"/>
      <c r="I18" s="7"/>
      <c r="J18" s="7"/>
      <c r="K18" s="7"/>
      <c r="L18" s="7"/>
      <c r="M18" s="7"/>
      <c r="N18" s="7"/>
      <c r="O18" s="7"/>
      <c r="P18" s="7"/>
      <c r="Q18" s="7"/>
      <c r="R18" s="7"/>
      <c r="S18" s="7"/>
      <c r="T18" s="7"/>
      <c r="U18" s="7"/>
      <c r="V18" s="7"/>
      <c r="W18" s="7"/>
      <c r="X18" s="7"/>
      <c r="Y18" s="7"/>
      <c r="Z18" s="7"/>
    </row>
    <row r="19">
      <c r="A19" s="36" t="s">
        <v>96</v>
      </c>
      <c r="B19" s="36" t="s">
        <v>97</v>
      </c>
      <c r="C19" s="7"/>
      <c r="D19" s="7"/>
      <c r="E19" s="7"/>
      <c r="F19" s="7"/>
      <c r="G19" s="7"/>
      <c r="H19" s="7"/>
      <c r="I19" s="7"/>
      <c r="J19" s="7"/>
      <c r="K19" s="7"/>
      <c r="L19" s="7"/>
      <c r="M19" s="7"/>
      <c r="N19" s="7"/>
      <c r="O19" s="7"/>
      <c r="P19" s="7"/>
      <c r="Q19" s="7"/>
      <c r="R19" s="7"/>
      <c r="S19" s="7"/>
      <c r="T19" s="7"/>
      <c r="U19" s="7"/>
      <c r="V19" s="7"/>
      <c r="W19" s="7"/>
      <c r="X19" s="7"/>
      <c r="Y19" s="7"/>
      <c r="Z19" s="7"/>
    </row>
    <row r="20">
      <c r="A20" s="36" t="s">
        <v>98</v>
      </c>
      <c r="B20" s="36" t="s">
        <v>99</v>
      </c>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36" t="s">
        <v>100</v>
      </c>
      <c r="B21" s="36" t="s">
        <v>101</v>
      </c>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36" t="s">
        <v>102</v>
      </c>
      <c r="B22" s="36" t="s">
        <v>103</v>
      </c>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36" t="s">
        <v>104</v>
      </c>
      <c r="B23" s="36" t="s">
        <v>105</v>
      </c>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9:B9"/>
    <mergeCell ref="A15:B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1.43"/>
    <col customWidth="1" min="3" max="3" width="16.86"/>
    <col customWidth="1" min="4" max="4" width="13.0"/>
    <col customWidth="1" min="5" max="24" width="9.0"/>
  </cols>
  <sheetData>
    <row r="1" ht="13.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ht="13.5" customHeight="1">
      <c r="A2" s="5" t="s">
        <v>5</v>
      </c>
      <c r="B2" s="5" t="s">
        <v>6</v>
      </c>
      <c r="C2" s="5" t="s">
        <v>7</v>
      </c>
      <c r="D2" s="5" t="s">
        <v>8</v>
      </c>
      <c r="E2" s="2"/>
      <c r="F2" s="2"/>
      <c r="G2" s="2"/>
      <c r="H2" s="2"/>
      <c r="I2" s="2"/>
      <c r="J2" s="2"/>
      <c r="K2" s="2"/>
      <c r="L2" s="2"/>
      <c r="M2" s="2"/>
      <c r="N2" s="2"/>
      <c r="O2" s="2"/>
      <c r="P2" s="2"/>
      <c r="Q2" s="2"/>
      <c r="R2" s="2"/>
      <c r="S2" s="2"/>
      <c r="T2" s="2"/>
      <c r="U2" s="2"/>
      <c r="V2" s="2"/>
      <c r="W2" s="2"/>
      <c r="X2" s="2"/>
      <c r="Y2" s="2"/>
      <c r="Z2" s="2"/>
    </row>
    <row r="3" ht="13.5" customHeight="1">
      <c r="A3" s="5" t="s">
        <v>9</v>
      </c>
      <c r="B3" s="5" t="s">
        <v>10</v>
      </c>
      <c r="C3" s="5" t="s">
        <v>11</v>
      </c>
      <c r="D3" s="5" t="s">
        <v>12</v>
      </c>
      <c r="E3" s="2"/>
      <c r="F3" s="2"/>
      <c r="G3" s="2"/>
      <c r="H3" s="2"/>
      <c r="I3" s="2"/>
      <c r="J3" s="2"/>
      <c r="K3" s="2"/>
      <c r="L3" s="2"/>
      <c r="M3" s="2"/>
      <c r="N3" s="2"/>
      <c r="O3" s="2"/>
      <c r="P3" s="2"/>
      <c r="Q3" s="2"/>
      <c r="R3" s="2"/>
      <c r="S3" s="2"/>
      <c r="T3" s="2"/>
      <c r="U3" s="2"/>
      <c r="V3" s="2"/>
      <c r="W3" s="2"/>
      <c r="X3" s="2"/>
      <c r="Y3" s="2"/>
      <c r="Z3" s="2"/>
    </row>
    <row r="4" ht="13.5" customHeight="1">
      <c r="A4" s="5" t="s">
        <v>13</v>
      </c>
      <c r="B4" s="5" t="s">
        <v>14</v>
      </c>
      <c r="C4" s="5" t="s">
        <v>15</v>
      </c>
      <c r="D4" s="5" t="s">
        <v>16</v>
      </c>
      <c r="E4" s="2"/>
      <c r="F4" s="2"/>
      <c r="G4" s="2"/>
      <c r="H4" s="2"/>
      <c r="I4" s="2"/>
      <c r="J4" s="2"/>
      <c r="K4" s="2"/>
      <c r="L4" s="2"/>
      <c r="M4" s="2"/>
      <c r="N4" s="2"/>
      <c r="O4" s="2"/>
      <c r="P4" s="2"/>
      <c r="Q4" s="2"/>
      <c r="R4" s="2"/>
      <c r="S4" s="2"/>
      <c r="T4" s="2"/>
      <c r="U4" s="2"/>
      <c r="V4" s="2"/>
      <c r="W4" s="2"/>
      <c r="X4" s="2"/>
      <c r="Y4" s="2"/>
      <c r="Z4" s="2"/>
    </row>
    <row r="5" ht="13.5" customHeight="1">
      <c r="A5" s="5" t="s">
        <v>17</v>
      </c>
      <c r="B5" s="5" t="s">
        <v>18</v>
      </c>
      <c r="C5" s="5" t="s">
        <v>19</v>
      </c>
      <c r="D5" s="5" t="s">
        <v>20</v>
      </c>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29.71"/>
    <col customWidth="1" min="3" max="4" width="23.43"/>
    <col customWidth="1" min="5" max="5" width="27.57"/>
    <col customWidth="1" min="6" max="6" width="19.14"/>
    <col customWidth="1" min="7" max="26" width="9.57"/>
  </cols>
  <sheetData>
    <row r="1">
      <c r="A1" s="3" t="s">
        <v>4</v>
      </c>
      <c r="B1" s="4"/>
      <c r="C1" s="4"/>
      <c r="D1" s="4"/>
      <c r="E1" s="4"/>
      <c r="F1" s="6"/>
      <c r="G1" s="7"/>
      <c r="H1" s="7"/>
      <c r="I1" s="7"/>
      <c r="J1" s="7"/>
      <c r="K1" s="7"/>
      <c r="L1" s="7"/>
      <c r="M1" s="7"/>
      <c r="N1" s="7"/>
      <c r="O1" s="7"/>
      <c r="P1" s="7"/>
      <c r="Q1" s="7"/>
      <c r="R1" s="7"/>
      <c r="S1" s="7"/>
      <c r="T1" s="7"/>
      <c r="U1" s="7"/>
      <c r="V1" s="7"/>
      <c r="W1" s="7"/>
      <c r="X1" s="7"/>
      <c r="Y1" s="7"/>
      <c r="Z1" s="7"/>
    </row>
    <row r="2">
      <c r="A2" s="7"/>
      <c r="B2" s="7"/>
      <c r="C2" s="7"/>
      <c r="D2" s="7"/>
      <c r="E2" s="7"/>
      <c r="F2" s="7"/>
      <c r="G2" s="7"/>
      <c r="H2" s="7"/>
      <c r="I2" s="7"/>
      <c r="J2" s="7"/>
      <c r="K2" s="7"/>
      <c r="L2" s="7"/>
      <c r="M2" s="7"/>
      <c r="N2" s="7"/>
      <c r="O2" s="7"/>
      <c r="P2" s="7"/>
      <c r="Q2" s="7"/>
      <c r="R2" s="7"/>
      <c r="S2" s="7"/>
      <c r="T2" s="7"/>
      <c r="U2" s="7"/>
      <c r="V2" s="7"/>
      <c r="W2" s="7"/>
      <c r="X2" s="7"/>
      <c r="Y2" s="7"/>
      <c r="Z2" s="7"/>
    </row>
    <row r="3">
      <c r="A3" s="8" t="s">
        <v>21</v>
      </c>
      <c r="B3" s="8" t="s">
        <v>22</v>
      </c>
      <c r="C3" s="8" t="s">
        <v>23</v>
      </c>
      <c r="D3" s="8" t="s">
        <v>24</v>
      </c>
      <c r="E3" s="8" t="s">
        <v>25</v>
      </c>
      <c r="F3" s="8" t="s">
        <v>26</v>
      </c>
      <c r="G3" s="7"/>
      <c r="H3" s="7"/>
      <c r="I3" s="7"/>
      <c r="J3" s="7"/>
      <c r="K3" s="7"/>
      <c r="L3" s="7"/>
      <c r="M3" s="7"/>
      <c r="N3" s="7"/>
      <c r="O3" s="7"/>
      <c r="P3" s="7"/>
      <c r="Q3" s="7"/>
      <c r="R3" s="7"/>
      <c r="S3" s="7"/>
      <c r="T3" s="7"/>
      <c r="U3" s="7"/>
      <c r="V3" s="7"/>
      <c r="W3" s="7"/>
      <c r="X3" s="7"/>
      <c r="Y3" s="7"/>
      <c r="Z3" s="7"/>
    </row>
    <row r="4">
      <c r="A4" s="9" t="s">
        <v>1</v>
      </c>
      <c r="B4" s="10">
        <v>25.0</v>
      </c>
      <c r="C4" s="10">
        <v>94.6</v>
      </c>
      <c r="D4" s="9" t="s">
        <v>27</v>
      </c>
      <c r="E4" s="11">
        <f t="shared" ref="E4:E6" si="1">B4*C4</f>
        <v>2365</v>
      </c>
      <c r="F4" s="12">
        <f t="shared" ref="F4:F6" si="2">E4/1000</f>
        <v>2.365</v>
      </c>
      <c r="G4" s="7"/>
      <c r="H4" s="7"/>
      <c r="I4" s="7"/>
      <c r="J4" s="7"/>
      <c r="K4" s="7"/>
      <c r="L4" s="7"/>
      <c r="M4" s="7"/>
      <c r="N4" s="7"/>
      <c r="O4" s="7"/>
      <c r="P4" s="7"/>
      <c r="Q4" s="7"/>
      <c r="R4" s="7"/>
      <c r="S4" s="7"/>
      <c r="T4" s="7"/>
      <c r="U4" s="7"/>
      <c r="V4" s="7"/>
      <c r="W4" s="7"/>
      <c r="X4" s="7"/>
      <c r="Y4" s="7"/>
      <c r="Z4" s="7"/>
    </row>
    <row r="5">
      <c r="A5" s="9" t="s">
        <v>2</v>
      </c>
      <c r="B5" s="10">
        <v>16.0</v>
      </c>
      <c r="C5" s="10">
        <v>10.0</v>
      </c>
      <c r="D5" s="9" t="s">
        <v>27</v>
      </c>
      <c r="E5" s="11">
        <f t="shared" si="1"/>
        <v>160</v>
      </c>
      <c r="F5" s="12">
        <f t="shared" si="2"/>
        <v>0.16</v>
      </c>
      <c r="G5" s="7"/>
      <c r="H5" s="7"/>
      <c r="I5" s="7"/>
      <c r="J5" s="7"/>
      <c r="K5" s="7"/>
      <c r="L5" s="7"/>
      <c r="M5" s="7"/>
      <c r="N5" s="7"/>
      <c r="O5" s="7"/>
      <c r="P5" s="7"/>
      <c r="Q5" s="7"/>
      <c r="R5" s="7"/>
      <c r="S5" s="7"/>
      <c r="T5" s="7"/>
      <c r="U5" s="7"/>
      <c r="V5" s="7"/>
      <c r="W5" s="7"/>
      <c r="X5" s="7"/>
      <c r="Y5" s="7"/>
      <c r="Z5" s="7"/>
    </row>
    <row r="6">
      <c r="A6" s="9" t="s">
        <v>3</v>
      </c>
      <c r="B6" s="10">
        <v>18.0</v>
      </c>
      <c r="C6" s="10">
        <v>7.0</v>
      </c>
      <c r="D6" s="9" t="s">
        <v>27</v>
      </c>
      <c r="E6" s="11">
        <f t="shared" si="1"/>
        <v>126</v>
      </c>
      <c r="F6" s="12">
        <f t="shared" si="2"/>
        <v>0.126</v>
      </c>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13" t="s">
        <v>28</v>
      </c>
      <c r="B8" s="4"/>
      <c r="C8" s="4"/>
      <c r="D8" s="6"/>
      <c r="E8" s="14"/>
      <c r="F8" s="14"/>
      <c r="G8" s="14"/>
      <c r="H8" s="14"/>
      <c r="I8" s="14"/>
      <c r="J8" s="14"/>
      <c r="K8" s="14"/>
      <c r="L8" s="14"/>
      <c r="M8" s="14"/>
      <c r="N8" s="14"/>
      <c r="O8" s="14"/>
      <c r="P8" s="14"/>
      <c r="Q8" s="14"/>
      <c r="R8" s="14"/>
      <c r="S8" s="14"/>
      <c r="T8" s="14"/>
      <c r="U8" s="14"/>
      <c r="V8" s="14"/>
      <c r="W8" s="14"/>
      <c r="X8" s="14"/>
      <c r="Y8" s="14"/>
      <c r="Z8" s="14"/>
    </row>
    <row r="9">
      <c r="A9" s="15" t="s">
        <v>0</v>
      </c>
      <c r="B9" s="15" t="s">
        <v>1</v>
      </c>
      <c r="C9" s="15" t="s">
        <v>29</v>
      </c>
      <c r="D9" s="15" t="s">
        <v>30</v>
      </c>
      <c r="E9" s="14"/>
      <c r="F9" s="14"/>
      <c r="G9" s="14"/>
      <c r="H9" s="14"/>
      <c r="I9" s="14"/>
      <c r="J9" s="14"/>
      <c r="K9" s="14"/>
      <c r="L9" s="14"/>
      <c r="M9" s="14"/>
      <c r="N9" s="14"/>
      <c r="O9" s="14"/>
      <c r="P9" s="14"/>
      <c r="Q9" s="14"/>
      <c r="R9" s="14"/>
      <c r="S9" s="14"/>
      <c r="T9" s="14"/>
      <c r="U9" s="14"/>
      <c r="V9" s="14"/>
      <c r="W9" s="14"/>
      <c r="X9" s="14"/>
      <c r="Y9" s="14"/>
      <c r="Z9" s="14"/>
    </row>
    <row r="10">
      <c r="A10" s="16" t="s">
        <v>5</v>
      </c>
      <c r="B10" s="17" t="s">
        <v>31</v>
      </c>
      <c r="C10" s="17" t="s">
        <v>32</v>
      </c>
      <c r="D10" s="17" t="s">
        <v>33</v>
      </c>
      <c r="E10" s="14"/>
      <c r="F10" s="14"/>
      <c r="G10" s="14"/>
      <c r="H10" s="14"/>
      <c r="I10" s="14"/>
      <c r="J10" s="14"/>
      <c r="K10" s="14"/>
      <c r="L10" s="14"/>
      <c r="M10" s="14"/>
      <c r="N10" s="14"/>
      <c r="O10" s="14"/>
      <c r="P10" s="14"/>
      <c r="Q10" s="14"/>
      <c r="R10" s="14"/>
      <c r="S10" s="14"/>
      <c r="T10" s="14"/>
      <c r="U10" s="14"/>
      <c r="V10" s="14"/>
      <c r="W10" s="14"/>
      <c r="X10" s="14"/>
      <c r="Y10" s="14"/>
      <c r="Z10" s="14"/>
    </row>
    <row r="11">
      <c r="A11" s="16" t="s">
        <v>9</v>
      </c>
      <c r="B11" s="16" t="s">
        <v>10</v>
      </c>
      <c r="C11" s="16" t="s">
        <v>11</v>
      </c>
      <c r="D11" s="16" t="s">
        <v>12</v>
      </c>
      <c r="E11" s="14"/>
      <c r="F11" s="14"/>
      <c r="G11" s="14"/>
      <c r="H11" s="14"/>
      <c r="I11" s="14"/>
      <c r="J11" s="14"/>
      <c r="K11" s="14"/>
      <c r="L11" s="14"/>
      <c r="M11" s="14"/>
      <c r="N11" s="14"/>
      <c r="O11" s="14"/>
      <c r="P11" s="14"/>
      <c r="Q11" s="14"/>
      <c r="R11" s="14"/>
      <c r="S11" s="14"/>
      <c r="T11" s="14"/>
      <c r="U11" s="14"/>
      <c r="V11" s="14"/>
      <c r="W11" s="14"/>
      <c r="X11" s="14"/>
      <c r="Y11" s="14"/>
      <c r="Z11" s="14"/>
    </row>
    <row r="12">
      <c r="A12" s="16" t="s">
        <v>13</v>
      </c>
      <c r="B12" s="16" t="s">
        <v>14</v>
      </c>
      <c r="C12" s="16" t="s">
        <v>15</v>
      </c>
      <c r="D12" s="16" t="s">
        <v>16</v>
      </c>
      <c r="E12" s="14"/>
      <c r="F12" s="14"/>
      <c r="G12" s="14"/>
      <c r="H12" s="14"/>
      <c r="I12" s="14"/>
      <c r="J12" s="14"/>
      <c r="K12" s="14"/>
      <c r="L12" s="14"/>
      <c r="M12" s="14"/>
      <c r="N12" s="14"/>
      <c r="O12" s="14"/>
      <c r="P12" s="14"/>
      <c r="Q12" s="14"/>
      <c r="R12" s="14"/>
      <c r="S12" s="14"/>
      <c r="T12" s="14"/>
      <c r="U12" s="14"/>
      <c r="V12" s="14"/>
      <c r="W12" s="14"/>
      <c r="X12" s="14"/>
      <c r="Y12" s="14"/>
      <c r="Z12" s="14"/>
    </row>
    <row r="13">
      <c r="A13" s="16" t="s">
        <v>34</v>
      </c>
      <c r="B13" s="16" t="s">
        <v>18</v>
      </c>
      <c r="C13" s="16" t="s">
        <v>19</v>
      </c>
      <c r="D13" s="16" t="s">
        <v>20</v>
      </c>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18" t="s">
        <v>35</v>
      </c>
      <c r="B15" s="6"/>
      <c r="C15" s="7"/>
      <c r="D15" s="7"/>
      <c r="E15" s="7"/>
      <c r="F15" s="7"/>
      <c r="G15" s="7"/>
      <c r="H15" s="7"/>
      <c r="I15" s="7"/>
      <c r="J15" s="7"/>
      <c r="K15" s="7"/>
      <c r="L15" s="7"/>
      <c r="M15" s="7"/>
      <c r="N15" s="7"/>
      <c r="O15" s="7"/>
      <c r="P15" s="7"/>
      <c r="Q15" s="7"/>
      <c r="R15" s="7"/>
      <c r="S15" s="7"/>
      <c r="T15" s="7"/>
      <c r="U15" s="7"/>
      <c r="V15" s="7"/>
      <c r="W15" s="7"/>
      <c r="X15" s="7"/>
      <c r="Y15" s="7"/>
      <c r="Z15" s="7"/>
    </row>
    <row r="16">
      <c r="A16" s="19" t="s">
        <v>36</v>
      </c>
      <c r="B16" s="19" t="s">
        <v>37</v>
      </c>
      <c r="C16" s="7"/>
      <c r="D16" s="7"/>
      <c r="E16" s="7"/>
      <c r="F16" s="7"/>
      <c r="G16" s="7"/>
      <c r="H16" s="7"/>
      <c r="I16" s="7"/>
      <c r="J16" s="7"/>
      <c r="K16" s="7"/>
      <c r="L16" s="7"/>
      <c r="M16" s="7"/>
      <c r="N16" s="7"/>
      <c r="O16" s="7"/>
      <c r="P16" s="7"/>
      <c r="Q16" s="7"/>
      <c r="R16" s="7"/>
      <c r="S16" s="7"/>
      <c r="T16" s="7"/>
      <c r="U16" s="7"/>
      <c r="V16" s="7"/>
      <c r="W16" s="7"/>
      <c r="X16" s="7"/>
      <c r="Y16" s="7"/>
      <c r="Z16" s="7"/>
    </row>
    <row r="17">
      <c r="A17" s="5" t="s">
        <v>38</v>
      </c>
      <c r="B17" s="20">
        <v>100.0</v>
      </c>
      <c r="C17" s="7"/>
      <c r="D17" s="7"/>
      <c r="E17" s="7"/>
      <c r="F17" s="7"/>
      <c r="G17" s="7"/>
      <c r="H17" s="7"/>
      <c r="I17" s="7"/>
      <c r="J17" s="7"/>
      <c r="K17" s="7"/>
      <c r="L17" s="7"/>
      <c r="M17" s="7"/>
      <c r="N17" s="7"/>
      <c r="O17" s="7"/>
      <c r="P17" s="7"/>
      <c r="Q17" s="7"/>
      <c r="R17" s="7"/>
      <c r="S17" s="7"/>
      <c r="T17" s="7"/>
      <c r="U17" s="7"/>
      <c r="V17" s="7"/>
      <c r="W17" s="7"/>
      <c r="X17" s="7"/>
      <c r="Y17" s="7"/>
      <c r="Z17" s="7"/>
    </row>
    <row r="18">
      <c r="A18" s="5" t="s">
        <v>39</v>
      </c>
      <c r="B18" s="20">
        <v>36.0</v>
      </c>
      <c r="C18" s="7"/>
      <c r="D18" s="7"/>
      <c r="E18" s="7"/>
      <c r="F18" s="7"/>
      <c r="G18" s="7"/>
      <c r="H18" s="7"/>
      <c r="I18" s="7"/>
      <c r="J18" s="7"/>
      <c r="K18" s="7"/>
      <c r="L18" s="7"/>
      <c r="M18" s="7"/>
      <c r="N18" s="7"/>
      <c r="O18" s="7"/>
      <c r="P18" s="7"/>
      <c r="Q18" s="7"/>
      <c r="R18" s="7"/>
      <c r="S18" s="7"/>
      <c r="T18" s="7"/>
      <c r="U18" s="7"/>
      <c r="V18" s="7"/>
      <c r="W18" s="7"/>
      <c r="X18" s="7"/>
      <c r="Y18" s="7"/>
      <c r="Z18" s="7"/>
    </row>
    <row r="19">
      <c r="A19" s="5" t="s">
        <v>40</v>
      </c>
      <c r="B19" s="20">
        <v>64.0</v>
      </c>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21" t="s">
        <v>41</v>
      </c>
      <c r="B21" s="21" t="s">
        <v>42</v>
      </c>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22" t="s">
        <v>43</v>
      </c>
      <c r="B22" s="22" t="s">
        <v>44</v>
      </c>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22" t="s">
        <v>45</v>
      </c>
      <c r="B23" s="22" t="s">
        <v>46</v>
      </c>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22" t="s">
        <v>47</v>
      </c>
      <c r="B24" s="22" t="s">
        <v>48</v>
      </c>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22" t="s">
        <v>49</v>
      </c>
      <c r="B25" s="22" t="s">
        <v>50</v>
      </c>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23" t="s">
        <v>51</v>
      </c>
      <c r="B27" s="23" t="s">
        <v>1</v>
      </c>
      <c r="C27" s="23" t="s">
        <v>29</v>
      </c>
      <c r="D27" s="23" t="s">
        <v>30</v>
      </c>
      <c r="E27" s="23" t="s">
        <v>52</v>
      </c>
      <c r="F27" s="7"/>
      <c r="G27" s="7"/>
      <c r="H27" s="7"/>
      <c r="I27" s="7"/>
      <c r="J27" s="7"/>
      <c r="K27" s="7"/>
      <c r="L27" s="7"/>
      <c r="M27" s="7"/>
      <c r="N27" s="7"/>
      <c r="O27" s="7"/>
      <c r="P27" s="7"/>
      <c r="Q27" s="7"/>
      <c r="R27" s="7"/>
      <c r="S27" s="7"/>
      <c r="T27" s="7"/>
      <c r="U27" s="7"/>
      <c r="V27" s="7"/>
      <c r="W27" s="7"/>
      <c r="X27" s="7"/>
      <c r="Y27" s="7"/>
      <c r="Z27" s="7"/>
    </row>
    <row r="28" ht="15.75" customHeight="1">
      <c r="A28" s="22" t="s">
        <v>53</v>
      </c>
      <c r="B28" s="24">
        <v>1000.0</v>
      </c>
      <c r="C28" s="24">
        <v>1560.0</v>
      </c>
      <c r="D28" s="24">
        <v>1390.0</v>
      </c>
      <c r="E28" s="22" t="s">
        <v>54</v>
      </c>
      <c r="F28" s="7"/>
      <c r="G28" s="7"/>
      <c r="H28" s="7"/>
      <c r="I28" s="7"/>
      <c r="J28" s="7"/>
      <c r="K28" s="7"/>
      <c r="L28" s="7"/>
      <c r="M28" s="7"/>
      <c r="N28" s="7"/>
      <c r="O28" s="7"/>
      <c r="P28" s="7"/>
      <c r="Q28" s="7"/>
      <c r="R28" s="7"/>
      <c r="S28" s="7"/>
      <c r="T28" s="7"/>
      <c r="U28" s="7"/>
      <c r="V28" s="7"/>
      <c r="W28" s="7"/>
      <c r="X28" s="7"/>
      <c r="Y28" s="7"/>
      <c r="Z28" s="7"/>
    </row>
    <row r="29" ht="15.75" customHeight="1">
      <c r="A29" s="22" t="s">
        <v>55</v>
      </c>
      <c r="B29" s="24">
        <f>B28*B4</f>
        <v>25000</v>
      </c>
      <c r="C29" s="24">
        <f>C28*B5</f>
        <v>24960</v>
      </c>
      <c r="D29" s="24">
        <f>D28*B6</f>
        <v>25020</v>
      </c>
      <c r="E29" s="22" t="s">
        <v>56</v>
      </c>
      <c r="F29" s="7"/>
      <c r="G29" s="7"/>
      <c r="H29" s="7"/>
      <c r="I29" s="7"/>
      <c r="J29" s="7"/>
      <c r="K29" s="7"/>
      <c r="L29" s="7"/>
      <c r="M29" s="7"/>
      <c r="N29" s="7"/>
      <c r="O29" s="7"/>
      <c r="P29" s="7"/>
      <c r="Q29" s="7"/>
      <c r="R29" s="7"/>
      <c r="S29" s="7"/>
      <c r="T29" s="7"/>
      <c r="U29" s="7"/>
      <c r="V29" s="7"/>
      <c r="W29" s="7"/>
      <c r="X29" s="7"/>
      <c r="Y29" s="7"/>
      <c r="Z29" s="7"/>
    </row>
    <row r="30" ht="15.75" customHeight="1">
      <c r="A30" s="22" t="s">
        <v>57</v>
      </c>
      <c r="B30" s="24">
        <f>B28*F4</f>
        <v>2365</v>
      </c>
      <c r="C30" s="24">
        <f>C28*F5</f>
        <v>249.6</v>
      </c>
      <c r="D30" s="24">
        <f>D28*F6</f>
        <v>175.14</v>
      </c>
      <c r="E30" s="22" t="s">
        <v>58</v>
      </c>
      <c r="F30" s="7"/>
      <c r="G30" s="7"/>
      <c r="H30" s="7"/>
      <c r="I30" s="7"/>
      <c r="J30" s="7"/>
      <c r="K30" s="7"/>
      <c r="L30" s="7"/>
      <c r="M30" s="7"/>
      <c r="N30" s="7"/>
      <c r="O30" s="7"/>
      <c r="P30" s="7"/>
      <c r="Q30" s="7"/>
      <c r="R30" s="7"/>
      <c r="S30" s="7"/>
      <c r="T30" s="7"/>
      <c r="U30" s="7"/>
      <c r="V30" s="7"/>
      <c r="W30" s="7"/>
      <c r="X30" s="7"/>
      <c r="Y30" s="7"/>
      <c r="Z30" s="7"/>
    </row>
    <row r="31" ht="15.75" customHeight="1">
      <c r="A31" s="22" t="s">
        <v>59</v>
      </c>
      <c r="B31" s="9" t="s">
        <v>60</v>
      </c>
      <c r="C31" s="25">
        <f>(B30-C30)/B30</f>
        <v>0.8944608879</v>
      </c>
      <c r="D31" s="26">
        <f>(B30-D30)/B30</f>
        <v>0.9259450317</v>
      </c>
      <c r="E31" s="22" t="s">
        <v>61</v>
      </c>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27" t="s">
        <v>62</v>
      </c>
      <c r="B33" s="28" t="s">
        <v>63</v>
      </c>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9">
        <v>1.0</v>
      </c>
      <c r="B34" s="22" t="s">
        <v>64</v>
      </c>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9">
        <v>2.0</v>
      </c>
      <c r="B35" s="22" t="s">
        <v>65</v>
      </c>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9">
        <v>3.0</v>
      </c>
      <c r="B36" s="22" t="s">
        <v>66</v>
      </c>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8:D8"/>
    <mergeCell ref="A15:B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9C8F"/>
    <pageSetUpPr fitToPage="1"/>
  </sheetPr>
  <sheetViews>
    <sheetView showGridLines="0" workbookViewId="0"/>
  </sheetViews>
  <sheetFormatPr customHeight="1" defaultColWidth="14.43" defaultRowHeight="15.0"/>
  <cols>
    <col customWidth="1" min="1" max="1" width="2.0"/>
    <col customWidth="1" min="2" max="2" width="52.0"/>
    <col customWidth="1" min="3" max="8" width="13.0"/>
    <col customWidth="1" min="9" max="9" width="2.43"/>
    <col customWidth="1" min="10" max="15" width="12.0"/>
    <col customWidth="1" min="16" max="26" width="8.71"/>
  </cols>
  <sheetData>
    <row r="1" ht="30.0" customHeight="1">
      <c r="A1" s="37"/>
      <c r="B1" s="38" t="s">
        <v>106</v>
      </c>
      <c r="C1" s="39"/>
      <c r="D1" s="39"/>
      <c r="E1" s="39"/>
      <c r="F1" s="39"/>
      <c r="G1" s="39"/>
      <c r="H1" s="39"/>
      <c r="I1" s="39"/>
      <c r="J1" s="39"/>
      <c r="K1" s="39"/>
      <c r="L1" s="39"/>
      <c r="M1" s="39"/>
      <c r="N1" s="39"/>
      <c r="O1" s="40"/>
    </row>
    <row r="2" ht="16.5" customHeight="1">
      <c r="B2" s="41" t="s">
        <v>107</v>
      </c>
      <c r="C2" s="39"/>
      <c r="D2" s="39"/>
      <c r="E2" s="39"/>
      <c r="F2" s="39"/>
      <c r="G2" s="39"/>
      <c r="H2" s="39"/>
      <c r="I2" s="39"/>
      <c r="J2" s="39"/>
      <c r="K2" s="39"/>
      <c r="L2" s="39"/>
      <c r="M2" s="39"/>
      <c r="N2" s="39"/>
      <c r="O2" s="40"/>
    </row>
    <row r="3" ht="14.25" customHeight="1"/>
    <row r="4" ht="25.5" customHeight="1">
      <c r="B4" s="42" t="s">
        <v>108</v>
      </c>
      <c r="C4" s="43" t="s">
        <v>109</v>
      </c>
      <c r="D4" s="40"/>
      <c r="E4" s="43" t="s">
        <v>110</v>
      </c>
      <c r="F4" s="40"/>
      <c r="G4" s="43" t="s">
        <v>111</v>
      </c>
      <c r="H4" s="40"/>
      <c r="J4" s="43" t="s">
        <v>112</v>
      </c>
      <c r="K4" s="40"/>
      <c r="L4" s="43" t="s">
        <v>113</v>
      </c>
      <c r="M4" s="40"/>
      <c r="N4" s="43" t="s">
        <v>114</v>
      </c>
      <c r="O4" s="40"/>
    </row>
    <row r="5" ht="33.75" customHeight="1">
      <c r="B5" s="44">
        <f>C21</f>
        <v>0.78</v>
      </c>
      <c r="C5" s="45">
        <f>D36</f>
        <v>9100807.202</v>
      </c>
      <c r="D5" s="40"/>
      <c r="E5" s="45">
        <f>F36</f>
        <v>9358316.016</v>
      </c>
      <c r="F5" s="40"/>
      <c r="G5" s="45">
        <f>H36</f>
        <v>6125443.21</v>
      </c>
      <c r="H5" s="40"/>
      <c r="J5" s="46">
        <f>H28</f>
        <v>0.7081169591</v>
      </c>
      <c r="K5" s="40"/>
      <c r="L5" s="45">
        <f>H53</f>
        <v>1807200</v>
      </c>
      <c r="M5" s="40"/>
      <c r="N5" s="47">
        <f>MAX(D38:H38)</f>
        <v>2.372626299</v>
      </c>
      <c r="O5" s="40"/>
    </row>
    <row r="6" ht="30.0" customHeight="1">
      <c r="B6" s="48" t="s">
        <v>115</v>
      </c>
      <c r="C6" s="49" t="str">
        <f>TEXT(D27,"0%")&amp;" of 2027 on biomass"</f>
        <v>75% of 2027 on biomass</v>
      </c>
      <c r="D6" s="40"/>
      <c r="E6" s="49" t="str">
        <f>"vs potential orders "&amp;TEXT(F48/1000000,"0.00")&amp;"M"</f>
        <v>vs potential orders 9.80M</v>
      </c>
      <c r="F6" s="40"/>
      <c r="G6" s="49" t="s">
        <v>116</v>
      </c>
      <c r="H6" s="40"/>
      <c r="J6" s="49" t="s">
        <v>117</v>
      </c>
      <c r="K6" s="40"/>
      <c r="L6" s="49" t="s">
        <v>118</v>
      </c>
      <c r="M6" s="40"/>
      <c r="N6" s="49" t="s">
        <v>119</v>
      </c>
      <c r="O6" s="40"/>
    </row>
    <row r="7" ht="14.25" customHeight="1"/>
    <row r="8" ht="21.75" customHeight="1">
      <c r="B8" s="50" t="s">
        <v>120</v>
      </c>
      <c r="C8" s="39"/>
      <c r="D8" s="39"/>
      <c r="E8" s="39"/>
      <c r="F8" s="39"/>
      <c r="G8" s="39"/>
      <c r="H8" s="39"/>
      <c r="I8" s="39"/>
      <c r="J8" s="39"/>
      <c r="K8" s="39"/>
      <c r="L8" s="39"/>
      <c r="M8" s="39"/>
      <c r="N8" s="39"/>
      <c r="O8" s="40"/>
    </row>
    <row r="9" ht="21.75" customHeight="1">
      <c r="B9" s="51" t="s">
        <v>121</v>
      </c>
      <c r="C9" s="51" t="s">
        <v>122</v>
      </c>
      <c r="D9" s="51" t="s">
        <v>123</v>
      </c>
      <c r="E9" s="52" t="s">
        <v>124</v>
      </c>
      <c r="F9" s="39"/>
      <c r="G9" s="39"/>
      <c r="H9" s="40"/>
      <c r="I9" s="53"/>
      <c r="J9" s="54" t="s">
        <v>125</v>
      </c>
      <c r="K9" s="39"/>
      <c r="L9" s="39"/>
      <c r="M9" s="39"/>
      <c r="N9" s="39"/>
      <c r="O9" s="40"/>
    </row>
    <row r="10" ht="30.0" customHeight="1">
      <c r="B10" s="55" t="s">
        <v>126</v>
      </c>
      <c r="C10" s="56">
        <f>'ESG_CAPEX OPEX'!B6</f>
        <v>300000</v>
      </c>
      <c r="D10" s="57" t="s">
        <v>127</v>
      </c>
      <c r="E10" s="58" t="s">
        <v>128</v>
      </c>
      <c r="F10" s="39"/>
      <c r="G10" s="39"/>
      <c r="H10" s="40"/>
      <c r="J10" s="59" t="s">
        <v>129</v>
      </c>
      <c r="K10" s="60"/>
      <c r="L10" s="60"/>
      <c r="M10" s="60"/>
      <c r="N10" s="60"/>
      <c r="O10" s="61"/>
    </row>
    <row r="11" ht="30.0" customHeight="1">
      <c r="B11" s="55" t="s">
        <v>130</v>
      </c>
      <c r="C11" s="56">
        <f>'Sales Forecast &amp; Case 2A KPI'!C21</f>
        <v>5020000</v>
      </c>
      <c r="D11" s="57" t="s">
        <v>131</v>
      </c>
      <c r="E11" s="58" t="s">
        <v>132</v>
      </c>
      <c r="F11" s="39"/>
      <c r="G11" s="39"/>
      <c r="H11" s="40"/>
      <c r="J11" s="62"/>
      <c r="K11" s="63"/>
      <c r="L11" s="63"/>
      <c r="M11" s="63"/>
      <c r="N11" s="63"/>
      <c r="O11" s="64"/>
    </row>
    <row r="12" ht="30.0" customHeight="1">
      <c r="B12" s="55" t="s">
        <v>133</v>
      </c>
      <c r="C12" s="65">
        <f>$C$10/$C$11</f>
        <v>0.05976095618</v>
      </c>
      <c r="D12" s="57" t="s">
        <v>134</v>
      </c>
      <c r="E12" s="58" t="s">
        <v>135</v>
      </c>
      <c r="F12" s="39"/>
      <c r="G12" s="39"/>
      <c r="H12" s="40"/>
      <c r="J12" s="59" t="s">
        <v>136</v>
      </c>
      <c r="K12" s="60"/>
      <c r="L12" s="60"/>
      <c r="M12" s="60"/>
      <c r="N12" s="60"/>
      <c r="O12" s="61"/>
    </row>
    <row r="13" ht="39.75" customHeight="1">
      <c r="B13" s="55" t="s">
        <v>137</v>
      </c>
      <c r="C13" s="66">
        <f>'CO2 Emission Calculation'!C4</f>
        <v>94.6</v>
      </c>
      <c r="D13" s="57" t="s">
        <v>138</v>
      </c>
      <c r="E13" s="58" t="s">
        <v>139</v>
      </c>
      <c r="F13" s="39"/>
      <c r="G13" s="39"/>
      <c r="H13" s="40"/>
      <c r="J13" s="62"/>
      <c r="K13" s="63"/>
      <c r="L13" s="63"/>
      <c r="M13" s="63"/>
      <c r="N13" s="63"/>
      <c r="O13" s="64"/>
    </row>
    <row r="14" ht="16.5" customHeight="1">
      <c r="B14" s="55" t="s">
        <v>140</v>
      </c>
      <c r="C14" s="66">
        <f>'CO2 Emission Calculation'!C5</f>
        <v>10</v>
      </c>
      <c r="D14" s="57" t="s">
        <v>138</v>
      </c>
      <c r="E14" s="58" t="s">
        <v>141</v>
      </c>
      <c r="F14" s="39"/>
      <c r="G14" s="39"/>
      <c r="H14" s="40"/>
      <c r="J14" s="59" t="s">
        <v>142</v>
      </c>
      <c r="K14" s="60"/>
      <c r="L14" s="60"/>
      <c r="M14" s="60"/>
      <c r="N14" s="60"/>
      <c r="O14" s="61"/>
    </row>
    <row r="15" ht="36.0" customHeight="1">
      <c r="B15" s="55" t="s">
        <v>143</v>
      </c>
      <c r="C15" s="66">
        <f>'CO2 Emission Calculation'!C6</f>
        <v>7</v>
      </c>
      <c r="D15" s="57" t="s">
        <v>138</v>
      </c>
      <c r="E15" s="58" t="s">
        <v>144</v>
      </c>
      <c r="F15" s="39"/>
      <c r="G15" s="39"/>
      <c r="H15" s="40"/>
      <c r="J15" s="62"/>
      <c r="K15" s="63"/>
      <c r="L15" s="63"/>
      <c r="M15" s="63"/>
      <c r="N15" s="63"/>
      <c r="O15" s="64"/>
    </row>
    <row r="16" ht="16.5" customHeight="1">
      <c r="B16" s="55" t="s">
        <v>145</v>
      </c>
      <c r="C16" s="67">
        <f>'ESG_CAPEX OPEX'!B10</f>
        <v>0.7</v>
      </c>
      <c r="D16" s="57" t="s">
        <v>146</v>
      </c>
      <c r="E16" s="58" t="s">
        <v>147</v>
      </c>
      <c r="F16" s="39"/>
      <c r="G16" s="39"/>
      <c r="H16" s="40"/>
      <c r="J16" s="59" t="s">
        <v>148</v>
      </c>
      <c r="K16" s="60"/>
      <c r="L16" s="60"/>
      <c r="M16" s="60"/>
      <c r="N16" s="60"/>
      <c r="O16" s="61"/>
    </row>
    <row r="17" ht="36.0" customHeight="1">
      <c r="B17" s="55" t="s">
        <v>149</v>
      </c>
      <c r="C17" s="67">
        <f>'ESG_CAPEX OPEX'!B11</f>
        <v>0.3</v>
      </c>
      <c r="D17" s="57" t="s">
        <v>146</v>
      </c>
      <c r="E17" s="58" t="s">
        <v>150</v>
      </c>
      <c r="F17" s="39"/>
      <c r="G17" s="39"/>
      <c r="H17" s="40"/>
      <c r="J17" s="62"/>
      <c r="K17" s="63"/>
      <c r="L17" s="63"/>
      <c r="M17" s="63"/>
      <c r="N17" s="63"/>
      <c r="O17" s="64"/>
    </row>
    <row r="18" ht="16.5" customHeight="1">
      <c r="B18" s="55" t="s">
        <v>151</v>
      </c>
      <c r="C18" s="68">
        <f>$C$16*$C$14+$C$17*$C$15</f>
        <v>9.1</v>
      </c>
      <c r="D18" s="57" t="s">
        <v>138</v>
      </c>
      <c r="E18" s="58" t="s">
        <v>152</v>
      </c>
      <c r="F18" s="39"/>
      <c r="G18" s="39"/>
      <c r="H18" s="40"/>
      <c r="J18" s="59" t="s">
        <v>153</v>
      </c>
      <c r="K18" s="60"/>
      <c r="L18" s="60"/>
      <c r="M18" s="60"/>
      <c r="N18" s="60"/>
      <c r="O18" s="61"/>
    </row>
    <row r="19" ht="36.0" customHeight="1">
      <c r="B19" s="55" t="s">
        <v>154</v>
      </c>
      <c r="C19" s="69">
        <f>'Task 1_ESG Roadmap'!$C$117</f>
        <v>46478</v>
      </c>
      <c r="D19" s="57" t="s">
        <v>155</v>
      </c>
      <c r="E19" s="58" t="s">
        <v>156</v>
      </c>
      <c r="F19" s="39"/>
      <c r="G19" s="39"/>
      <c r="H19" s="40"/>
      <c r="J19" s="62"/>
      <c r="K19" s="63"/>
      <c r="L19" s="63"/>
      <c r="M19" s="63"/>
      <c r="N19" s="63"/>
      <c r="O19" s="64"/>
    </row>
    <row r="20" ht="16.5" customHeight="1">
      <c r="B20" s="55" t="s">
        <v>157</v>
      </c>
      <c r="C20" s="70">
        <f>(DATE(2027,12,31)-$C$19+1)/365</f>
        <v>0.7534246575</v>
      </c>
      <c r="D20" s="57" t="s">
        <v>158</v>
      </c>
      <c r="E20" s="58" t="s">
        <v>159</v>
      </c>
      <c r="F20" s="39"/>
      <c r="G20" s="39"/>
      <c r="H20" s="40"/>
      <c r="J20" s="59" t="s">
        <v>160</v>
      </c>
      <c r="K20" s="60"/>
      <c r="L20" s="60"/>
      <c r="M20" s="60"/>
      <c r="N20" s="60"/>
      <c r="O20" s="61"/>
    </row>
    <row r="21" ht="52.5" customHeight="1">
      <c r="B21" s="55" t="s">
        <v>161</v>
      </c>
      <c r="C21" s="71">
        <v>0.78</v>
      </c>
      <c r="D21" s="57" t="s">
        <v>146</v>
      </c>
      <c r="E21" s="58" t="s">
        <v>162</v>
      </c>
      <c r="F21" s="39"/>
      <c r="G21" s="39"/>
      <c r="H21" s="40"/>
      <c r="J21" s="62"/>
      <c r="K21" s="63"/>
      <c r="L21" s="63"/>
      <c r="M21" s="63"/>
      <c r="N21" s="63"/>
      <c r="O21" s="64"/>
    </row>
    <row r="22" ht="14.25" customHeight="1"/>
    <row r="23" ht="21.75" customHeight="1">
      <c r="B23" s="50" t="s">
        <v>163</v>
      </c>
      <c r="C23" s="39"/>
      <c r="D23" s="39"/>
      <c r="E23" s="39"/>
      <c r="F23" s="39"/>
      <c r="G23" s="39"/>
      <c r="H23" s="39"/>
      <c r="I23" s="39"/>
      <c r="J23" s="39"/>
      <c r="K23" s="39"/>
      <c r="L23" s="39"/>
      <c r="M23" s="39"/>
      <c r="N23" s="39"/>
      <c r="O23" s="40"/>
    </row>
    <row r="24" ht="21.75" customHeight="1">
      <c r="B24" s="51" t="s">
        <v>0</v>
      </c>
      <c r="C24" s="51" t="s">
        <v>164</v>
      </c>
      <c r="D24" s="51" t="s">
        <v>165</v>
      </c>
      <c r="E24" s="51" t="s">
        <v>166</v>
      </c>
      <c r="F24" s="51" t="s">
        <v>167</v>
      </c>
      <c r="G24" s="51" t="s">
        <v>168</v>
      </c>
      <c r="H24" s="51" t="s">
        <v>169</v>
      </c>
      <c r="I24" s="53"/>
      <c r="J24" s="53"/>
      <c r="K24" s="53"/>
      <c r="L24" s="53"/>
      <c r="M24" s="53"/>
      <c r="N24" s="53"/>
      <c r="O24" s="53"/>
    </row>
    <row r="25" ht="18.0" customHeight="1">
      <c r="B25" s="55" t="s">
        <v>170</v>
      </c>
      <c r="C25" s="56">
        <f>'Emission Target'!D6</f>
        <v>28380</v>
      </c>
      <c r="D25" s="56">
        <f>'Emission Target'!D7</f>
        <v>24123</v>
      </c>
      <c r="E25" s="56">
        <f>'Emission Target'!D8</f>
        <v>19866</v>
      </c>
      <c r="F25" s="56">
        <f>'Emission Target'!D9</f>
        <v>15609</v>
      </c>
      <c r="G25" s="56">
        <f>'Emission Target'!D10</f>
        <v>12771</v>
      </c>
      <c r="H25" s="56">
        <f>'Emission Target'!D11</f>
        <v>10216.8</v>
      </c>
    </row>
    <row r="26" ht="18.0" customHeight="1">
      <c r="B26" s="55" t="s">
        <v>171</v>
      </c>
      <c r="C26" s="72">
        <f>'Emission Target'!E6</f>
        <v>94.6</v>
      </c>
      <c r="D26" s="72">
        <f>'Emission Target'!E7</f>
        <v>80.41</v>
      </c>
      <c r="E26" s="72">
        <f>'Emission Target'!E8</f>
        <v>66.22</v>
      </c>
      <c r="F26" s="72">
        <f>'Emission Target'!E9</f>
        <v>52.03</v>
      </c>
      <c r="G26" s="72">
        <f>'Emission Target'!E10</f>
        <v>42.57</v>
      </c>
      <c r="H26" s="72">
        <f>'Emission Target'!E11</f>
        <v>34.056</v>
      </c>
    </row>
    <row r="27" ht="18.0" customHeight="1">
      <c r="B27" s="55" t="s">
        <v>172</v>
      </c>
      <c r="C27" s="70">
        <v>0.0</v>
      </c>
      <c r="D27" s="70">
        <f>$C$20</f>
        <v>0.7534246575</v>
      </c>
      <c r="E27" s="70">
        <v>1.0</v>
      </c>
      <c r="F27" s="70">
        <v>1.0</v>
      </c>
      <c r="G27" s="70">
        <v>1.0</v>
      </c>
      <c r="H27" s="70">
        <v>1.0</v>
      </c>
    </row>
    <row r="28" ht="33.0" customHeight="1">
      <c r="B28" s="73" t="s">
        <v>173</v>
      </c>
      <c r="C28" s="74" t="s">
        <v>174</v>
      </c>
      <c r="D28" s="75">
        <f t="shared" ref="D28:H28" si="1">MAX(0,($C$13-D26)/($C$13-$C$18)/D27)</f>
        <v>0.2202807018</v>
      </c>
      <c r="E28" s="75">
        <f t="shared" si="1"/>
        <v>0.3319298246</v>
      </c>
      <c r="F28" s="75">
        <f t="shared" si="1"/>
        <v>0.4978947368</v>
      </c>
      <c r="G28" s="75">
        <f t="shared" si="1"/>
        <v>0.6085380117</v>
      </c>
      <c r="H28" s="75">
        <f t="shared" si="1"/>
        <v>0.7081169591</v>
      </c>
    </row>
    <row r="29" ht="14.25" customHeight="1"/>
    <row r="30" ht="21.75" customHeight="1">
      <c r="B30" s="50" t="s">
        <v>175</v>
      </c>
      <c r="C30" s="39"/>
      <c r="D30" s="39"/>
      <c r="E30" s="39"/>
      <c r="F30" s="39"/>
      <c r="G30" s="39"/>
      <c r="H30" s="39"/>
      <c r="I30" s="39"/>
      <c r="J30" s="39"/>
      <c r="K30" s="39"/>
      <c r="L30" s="39"/>
      <c r="M30" s="39"/>
      <c r="N30" s="39"/>
      <c r="O30" s="40"/>
    </row>
    <row r="31" ht="21.75" customHeight="1">
      <c r="B31" s="51" t="s">
        <v>0</v>
      </c>
      <c r="C31" s="51" t="s">
        <v>164</v>
      </c>
      <c r="D31" s="51" t="s">
        <v>165</v>
      </c>
      <c r="E31" s="51" t="s">
        <v>166</v>
      </c>
      <c r="F31" s="51" t="s">
        <v>167</v>
      </c>
      <c r="G31" s="51" t="s">
        <v>168</v>
      </c>
      <c r="H31" s="51" t="s">
        <v>169</v>
      </c>
      <c r="I31" s="53"/>
      <c r="J31" s="53"/>
      <c r="K31" s="53"/>
      <c r="L31" s="53"/>
      <c r="M31" s="53"/>
      <c r="N31" s="53"/>
      <c r="O31" s="53"/>
    </row>
    <row r="32" ht="18.0" customHeight="1">
      <c r="B32" s="55" t="s">
        <v>176</v>
      </c>
      <c r="C32" s="70">
        <v>0.0</v>
      </c>
      <c r="D32" s="70">
        <f t="shared" ref="D32:H32" si="2">$C$21</f>
        <v>0.78</v>
      </c>
      <c r="E32" s="70">
        <f t="shared" si="2"/>
        <v>0.78</v>
      </c>
      <c r="F32" s="70">
        <f t="shared" si="2"/>
        <v>0.78</v>
      </c>
      <c r="G32" s="70">
        <f t="shared" si="2"/>
        <v>0.78</v>
      </c>
      <c r="H32" s="70">
        <f t="shared" si="2"/>
        <v>0.78</v>
      </c>
    </row>
    <row r="33" ht="18.0" customHeight="1">
      <c r="B33" s="55" t="s">
        <v>177</v>
      </c>
      <c r="C33" s="70">
        <f t="shared" ref="C33:H33" si="3">C32*C27</f>
        <v>0</v>
      </c>
      <c r="D33" s="70">
        <f t="shared" si="3"/>
        <v>0.5876712329</v>
      </c>
      <c r="E33" s="70">
        <f t="shared" si="3"/>
        <v>0.78</v>
      </c>
      <c r="F33" s="70">
        <f t="shared" si="3"/>
        <v>0.78</v>
      </c>
      <c r="G33" s="70">
        <f t="shared" si="3"/>
        <v>0.78</v>
      </c>
      <c r="H33" s="70">
        <f t="shared" si="3"/>
        <v>0.78</v>
      </c>
    </row>
    <row r="34" ht="18.0" customHeight="1">
      <c r="B34" s="55" t="s">
        <v>178</v>
      </c>
      <c r="C34" s="76">
        <f t="shared" ref="C34:H34" si="4">$C$13-C33*($C$13-$C$18)</f>
        <v>94.6</v>
      </c>
      <c r="D34" s="76">
        <f t="shared" si="4"/>
        <v>44.35410959</v>
      </c>
      <c r="E34" s="76">
        <f t="shared" si="4"/>
        <v>27.91</v>
      </c>
      <c r="F34" s="76">
        <f t="shared" si="4"/>
        <v>27.91</v>
      </c>
      <c r="G34" s="76">
        <f t="shared" si="4"/>
        <v>27.91</v>
      </c>
      <c r="H34" s="76">
        <f t="shared" si="4"/>
        <v>27.91</v>
      </c>
    </row>
    <row r="35" ht="18.0" customHeight="1">
      <c r="B35" s="55" t="s">
        <v>179</v>
      </c>
      <c r="C35" s="77" t="str">
        <f t="shared" ref="C35:H35" si="5">IF(C34&lt;=C26+0.000001,"Yes","No")</f>
        <v>Yes</v>
      </c>
      <c r="D35" s="77" t="str">
        <f t="shared" si="5"/>
        <v>Yes</v>
      </c>
      <c r="E35" s="77" t="str">
        <f t="shared" si="5"/>
        <v>Yes</v>
      </c>
      <c r="F35" s="77" t="str">
        <f t="shared" si="5"/>
        <v>Yes</v>
      </c>
      <c r="G35" s="77" t="str">
        <f t="shared" si="5"/>
        <v>Yes</v>
      </c>
      <c r="H35" s="77" t="str">
        <f t="shared" si="5"/>
        <v>Yes</v>
      </c>
    </row>
    <row r="36" ht="18.0" customHeight="1">
      <c r="B36" s="78" t="s">
        <v>180</v>
      </c>
      <c r="C36" s="79">
        <f t="shared" ref="C36:H36" si="6">IF(C35="Yes",C25*1000/($C$12*C34),0)</f>
        <v>5020000</v>
      </c>
      <c r="D36" s="79">
        <f t="shared" si="6"/>
        <v>9100807.202</v>
      </c>
      <c r="E36" s="79">
        <f t="shared" si="6"/>
        <v>11910584.02</v>
      </c>
      <c r="F36" s="79">
        <f t="shared" si="6"/>
        <v>9358316.016</v>
      </c>
      <c r="G36" s="79">
        <f t="shared" si="6"/>
        <v>7656804.013</v>
      </c>
      <c r="H36" s="79">
        <f t="shared" si="6"/>
        <v>6125443.21</v>
      </c>
    </row>
    <row r="37" ht="18.0" customHeight="1">
      <c r="B37" s="55" t="s">
        <v>181</v>
      </c>
      <c r="C37" s="80">
        <f t="shared" ref="C37:H37" si="7">C36*$C$12</f>
        <v>300000</v>
      </c>
      <c r="D37" s="80">
        <f t="shared" si="7"/>
        <v>543872.9404</v>
      </c>
      <c r="E37" s="80">
        <f t="shared" si="7"/>
        <v>711787.8896</v>
      </c>
      <c r="F37" s="80">
        <f t="shared" si="7"/>
        <v>559261.9133</v>
      </c>
      <c r="G37" s="80">
        <f t="shared" si="7"/>
        <v>457577.9291</v>
      </c>
      <c r="H37" s="80">
        <f t="shared" si="7"/>
        <v>366062.3432</v>
      </c>
    </row>
    <row r="38" ht="18.0" customHeight="1">
      <c r="B38" s="55" t="s">
        <v>182</v>
      </c>
      <c r="C38" s="81">
        <f t="shared" ref="C38:H38" si="8">C37/$C$10</f>
        <v>1</v>
      </c>
      <c r="D38" s="81">
        <f t="shared" si="8"/>
        <v>1.812909801</v>
      </c>
      <c r="E38" s="81">
        <f t="shared" si="8"/>
        <v>2.372626299</v>
      </c>
      <c r="F38" s="81">
        <f t="shared" si="8"/>
        <v>1.864206378</v>
      </c>
      <c r="G38" s="81">
        <f t="shared" si="8"/>
        <v>1.525259764</v>
      </c>
      <c r="H38" s="81">
        <f t="shared" si="8"/>
        <v>1.220207811</v>
      </c>
    </row>
    <row r="39" ht="18.0" customHeight="1">
      <c r="B39" s="55" t="s">
        <v>183</v>
      </c>
      <c r="C39" s="80">
        <f t="shared" ref="C39:H39" si="9">C37*C34/1000</f>
        <v>28380</v>
      </c>
      <c r="D39" s="80">
        <f t="shared" si="9"/>
        <v>24123</v>
      </c>
      <c r="E39" s="80">
        <f t="shared" si="9"/>
        <v>19866</v>
      </c>
      <c r="F39" s="80">
        <f t="shared" si="9"/>
        <v>15609</v>
      </c>
      <c r="G39" s="80">
        <f t="shared" si="9"/>
        <v>12771</v>
      </c>
      <c r="H39" s="80">
        <f t="shared" si="9"/>
        <v>10216.8</v>
      </c>
    </row>
    <row r="40" ht="18.0" customHeight="1">
      <c r="B40" s="55" t="s">
        <v>184</v>
      </c>
      <c r="C40" s="77" t="str">
        <f t="shared" ref="C40:H40" si="10">IF(AND(C39&lt;=C25+0.5,C35="Yes"),"OK","Check")</f>
        <v>OK</v>
      </c>
      <c r="D40" s="77" t="str">
        <f t="shared" si="10"/>
        <v>OK</v>
      </c>
      <c r="E40" s="77" t="str">
        <f t="shared" si="10"/>
        <v>OK</v>
      </c>
      <c r="F40" s="77" t="str">
        <f t="shared" si="10"/>
        <v>OK</v>
      </c>
      <c r="G40" s="77" t="str">
        <f t="shared" si="10"/>
        <v>OK</v>
      </c>
      <c r="H40" s="77" t="str">
        <f t="shared" si="10"/>
        <v>OK</v>
      </c>
    </row>
    <row r="41" ht="14.25" customHeight="1"/>
    <row r="42" ht="14.25" customHeight="1"/>
    <row r="43" ht="14.25" customHeight="1"/>
    <row r="44" ht="14.25" customHeight="1"/>
    <row r="45" ht="14.25" customHeight="1"/>
    <row r="46" ht="21.75" customHeight="1">
      <c r="B46" s="50" t="s">
        <v>185</v>
      </c>
      <c r="C46" s="39"/>
      <c r="D46" s="39"/>
      <c r="E46" s="39"/>
      <c r="F46" s="39"/>
      <c r="G46" s="39"/>
      <c r="H46" s="39"/>
      <c r="I46" s="39"/>
      <c r="J46" s="39"/>
      <c r="K46" s="39"/>
      <c r="L46" s="39"/>
      <c r="M46" s="39"/>
      <c r="N46" s="39"/>
      <c r="O46" s="40"/>
    </row>
    <row r="47" ht="21.75" customHeight="1">
      <c r="B47" s="51" t="s">
        <v>0</v>
      </c>
      <c r="C47" s="51" t="s">
        <v>164</v>
      </c>
      <c r="D47" s="51" t="s">
        <v>165</v>
      </c>
      <c r="E47" s="51" t="s">
        <v>166</v>
      </c>
      <c r="F47" s="51" t="s">
        <v>167</v>
      </c>
      <c r="G47" s="51" t="s">
        <v>168</v>
      </c>
      <c r="H47" s="51" t="s">
        <v>169</v>
      </c>
      <c r="I47" s="53"/>
      <c r="J47" s="53"/>
      <c r="K47" s="53"/>
      <c r="L47" s="53"/>
      <c r="M47" s="53"/>
      <c r="N47" s="53"/>
      <c r="O47" s="53"/>
    </row>
    <row r="48" ht="18.0" customHeight="1">
      <c r="B48" s="55" t="s">
        <v>186</v>
      </c>
      <c r="C48" s="56">
        <f>'Sales Forecast &amp; Case 2A KPI'!C21</f>
        <v>5020000</v>
      </c>
      <c r="D48" s="56">
        <f>'Sales Forecast &amp; Case 2A KPI'!D21</f>
        <v>6124400</v>
      </c>
      <c r="E48" s="56">
        <f>'Sales Forecast &amp; Case 2A KPI'!E21</f>
        <v>7655500</v>
      </c>
      <c r="F48" s="56">
        <f>'Sales Forecast &amp; Case 2A KPI'!F21</f>
        <v>9799040</v>
      </c>
      <c r="G48" s="74" t="s">
        <v>174</v>
      </c>
      <c r="H48" s="74" t="s">
        <v>174</v>
      </c>
    </row>
    <row r="49" ht="18.0" customHeight="1">
      <c r="B49" s="55" t="s">
        <v>187</v>
      </c>
      <c r="C49" s="80">
        <f t="shared" ref="C49:F49" si="11">C36-C48</f>
        <v>0</v>
      </c>
      <c r="D49" s="80">
        <f t="shared" si="11"/>
        <v>2976407.202</v>
      </c>
      <c r="E49" s="80">
        <f t="shared" si="11"/>
        <v>4255084.02</v>
      </c>
      <c r="F49" s="80">
        <f t="shared" si="11"/>
        <v>-440723.9842</v>
      </c>
      <c r="G49" s="74" t="s">
        <v>174</v>
      </c>
      <c r="H49" s="74" t="s">
        <v>174</v>
      </c>
    </row>
    <row r="50" ht="18.0" customHeight="1">
      <c r="B50" s="55" t="s">
        <v>188</v>
      </c>
      <c r="C50" s="57" t="str">
        <f t="shared" ref="C50:F50" si="12">IF(C49&lt;-0.5,"Yes","No")</f>
        <v>No</v>
      </c>
      <c r="D50" s="57" t="str">
        <f t="shared" si="12"/>
        <v>No</v>
      </c>
      <c r="E50" s="57" t="str">
        <f t="shared" si="12"/>
        <v>No</v>
      </c>
      <c r="F50" s="57" t="str">
        <f t="shared" si="12"/>
        <v>Yes</v>
      </c>
      <c r="G50" s="57" t="str">
        <f t="shared" ref="G50:H50" si="13">"If &gt; "&amp;TEXT(G36/1000000,"0.00")&amp;"M"</f>
        <v>If &gt; 7.66M</v>
      </c>
      <c r="H50" s="57" t="str">
        <f t="shared" si="13"/>
        <v>If &gt; 6.13M</v>
      </c>
    </row>
    <row r="51" ht="33.0" customHeight="1">
      <c r="B51" s="55" t="s">
        <v>189</v>
      </c>
      <c r="C51" s="74" t="s">
        <v>174</v>
      </c>
      <c r="D51" s="70">
        <f t="shared" ref="D51:F51" si="14">MAX(D28,($C$13-D25*1000/($C$12*D48))/($C$13-$C$18)/D27)</f>
        <v>0.4453762822</v>
      </c>
      <c r="E51" s="70">
        <f t="shared" si="14"/>
        <v>0.5985619787</v>
      </c>
      <c r="F51" s="70">
        <f t="shared" si="14"/>
        <v>0.794681718</v>
      </c>
      <c r="G51" s="16" t="s">
        <v>174</v>
      </c>
      <c r="H51" s="16" t="s">
        <v>174</v>
      </c>
    </row>
    <row r="52" ht="18.0" customHeight="1">
      <c r="B52" s="55" t="s">
        <v>190</v>
      </c>
      <c r="C52" s="56">
        <f>'Sales Forecast &amp; Case 2A KPI'!C21</f>
        <v>5020000</v>
      </c>
      <c r="D52" s="56">
        <f>'Sales Forecast &amp; Case 2A KPI'!G21</f>
        <v>4518000</v>
      </c>
      <c r="E52" s="56">
        <f>'Sales Forecast &amp; Case 2A KPI'!H21</f>
        <v>3975840</v>
      </c>
      <c r="F52" s="56">
        <f>'Sales Forecast &amp; Case 2A KPI'!I21</f>
        <v>3379464</v>
      </c>
      <c r="G52" s="16" t="s">
        <v>174</v>
      </c>
      <c r="H52" s="16" t="s">
        <v>174</v>
      </c>
    </row>
    <row r="53" ht="33.0" customHeight="1">
      <c r="B53" s="55" t="s">
        <v>191</v>
      </c>
      <c r="C53" s="80">
        <f t="shared" ref="C53:H53" si="15">C25*1000/($C$12*$C$13)</f>
        <v>5020000</v>
      </c>
      <c r="D53" s="80">
        <f t="shared" si="15"/>
        <v>4267000</v>
      </c>
      <c r="E53" s="80">
        <f t="shared" si="15"/>
        <v>3514000</v>
      </c>
      <c r="F53" s="80">
        <f t="shared" si="15"/>
        <v>2761000</v>
      </c>
      <c r="G53" s="80">
        <f t="shared" si="15"/>
        <v>2259000</v>
      </c>
      <c r="H53" s="80">
        <f t="shared" si="15"/>
        <v>1807200</v>
      </c>
    </row>
    <row r="54" ht="14.25" customHeight="1"/>
    <row r="55" ht="21.75" customHeight="1">
      <c r="B55" s="50" t="s">
        <v>192</v>
      </c>
      <c r="C55" s="39"/>
      <c r="D55" s="39"/>
      <c r="E55" s="39"/>
      <c r="F55" s="39"/>
      <c r="G55" s="39"/>
      <c r="H55" s="39"/>
      <c r="I55" s="39"/>
      <c r="J55" s="39"/>
      <c r="K55" s="39"/>
      <c r="L55" s="39"/>
      <c r="M55" s="39"/>
      <c r="N55" s="39"/>
      <c r="O55" s="40"/>
    </row>
    <row r="56" ht="21.75" customHeight="1">
      <c r="B56" s="51" t="s">
        <v>176</v>
      </c>
      <c r="C56" s="51" t="s">
        <v>164</v>
      </c>
      <c r="D56" s="51" t="s">
        <v>165</v>
      </c>
      <c r="E56" s="51" t="s">
        <v>166</v>
      </c>
      <c r="F56" s="51" t="s">
        <v>167</v>
      </c>
      <c r="G56" s="51" t="s">
        <v>168</v>
      </c>
      <c r="H56" s="51" t="s">
        <v>169</v>
      </c>
      <c r="I56" s="53"/>
      <c r="J56" s="53"/>
      <c r="K56" s="53"/>
      <c r="L56" s="53"/>
      <c r="M56" s="53"/>
      <c r="N56" s="53"/>
      <c r="O56" s="53"/>
    </row>
    <row r="57" ht="14.25" customHeight="1">
      <c r="B57" s="82">
        <v>0.0</v>
      </c>
      <c r="C57" s="76">
        <f t="shared" ref="C57:H57" si="16">IF(($C$13-$B57*C$27*($C$13-$C$18))&lt;=C$26+0.000001,C$25*1000/($C$12*($C$13-$B57*C$27*($C$13-$C$18)))/1000000,"Fails cap")</f>
        <v>5.02</v>
      </c>
      <c r="D57" s="76" t="str">
        <f t="shared" si="16"/>
        <v>Fails cap</v>
      </c>
      <c r="E57" s="76" t="str">
        <f t="shared" si="16"/>
        <v>Fails cap</v>
      </c>
      <c r="F57" s="76" t="str">
        <f t="shared" si="16"/>
        <v>Fails cap</v>
      </c>
      <c r="G57" s="76" t="str">
        <f t="shared" si="16"/>
        <v>Fails cap</v>
      </c>
      <c r="H57" s="76" t="str">
        <f t="shared" si="16"/>
        <v>Fails cap</v>
      </c>
      <c r="J57" s="83" t="s">
        <v>193</v>
      </c>
      <c r="K57" s="84"/>
      <c r="L57" s="84"/>
      <c r="M57" s="84"/>
      <c r="N57" s="84"/>
      <c r="O57" s="85"/>
    </row>
    <row r="58" ht="14.25" customHeight="1">
      <c r="B58" s="82">
        <v>0.3</v>
      </c>
      <c r="C58" s="76">
        <f t="shared" ref="C58:H58" si="17">IF(($C$13-$B58*C$27*($C$13-$C$18))&lt;=C$26+0.000001,C$25*1000/($C$12*($C$13-$B58*C$27*($C$13-$C$18)))/1000000,"Fails cap")</f>
        <v>5.02</v>
      </c>
      <c r="D58" s="76">
        <f t="shared" si="17"/>
        <v>5.362471424</v>
      </c>
      <c r="E58" s="76" t="str">
        <f t="shared" si="17"/>
        <v>Fails cap</v>
      </c>
      <c r="F58" s="76" t="str">
        <f t="shared" si="17"/>
        <v>Fails cap</v>
      </c>
      <c r="G58" s="76" t="str">
        <f t="shared" si="17"/>
        <v>Fails cap</v>
      </c>
      <c r="H58" s="76" t="str">
        <f t="shared" si="17"/>
        <v>Fails cap</v>
      </c>
      <c r="J58" s="86" t="s">
        <v>194</v>
      </c>
      <c r="K58" s="87"/>
      <c r="L58" s="87"/>
      <c r="M58" s="87"/>
      <c r="N58" s="87"/>
      <c r="O58" s="88"/>
    </row>
    <row r="59" ht="14.25" customHeight="1">
      <c r="B59" s="82">
        <v>0.5</v>
      </c>
      <c r="C59" s="76">
        <f t="shared" ref="C59:H59" si="18">IF(($C$13-$B59*C$27*($C$13-$C$18))&lt;=C$26+0.000001,C$25*1000/($C$12*($C$13-$B59*C$27*($C$13-$C$18)))/1000000,"Fails cap")</f>
        <v>5.02</v>
      </c>
      <c r="D59" s="76">
        <f t="shared" si="18"/>
        <v>6.469804613</v>
      </c>
      <c r="E59" s="76">
        <f t="shared" si="18"/>
        <v>6.411270974</v>
      </c>
      <c r="F59" s="76">
        <f t="shared" si="18"/>
        <v>5.037427194</v>
      </c>
      <c r="G59" s="76" t="str">
        <f t="shared" si="18"/>
        <v>Fails cap</v>
      </c>
      <c r="H59" s="76" t="str">
        <f t="shared" si="18"/>
        <v>Fails cap</v>
      </c>
      <c r="J59" s="89"/>
      <c r="O59" s="90"/>
    </row>
    <row r="60" ht="14.25" customHeight="1">
      <c r="B60" s="82">
        <v>0.6</v>
      </c>
      <c r="C60" s="76">
        <f t="shared" ref="C60:H60" si="19">IF(($C$13-$B60*C$27*($C$13-$C$18))&lt;=C$26+0.000001,C$25*1000/($C$12*($C$13-$B60*C$27*($C$13-$C$18)))/1000000,"Fails cap")</f>
        <v>5.02</v>
      </c>
      <c r="D60" s="76">
        <f t="shared" si="19"/>
        <v>7.214712093</v>
      </c>
      <c r="E60" s="76">
        <f t="shared" si="19"/>
        <v>7.677237875</v>
      </c>
      <c r="F60" s="76">
        <f t="shared" si="19"/>
        <v>6.032115473</v>
      </c>
      <c r="G60" s="76" t="str">
        <f t="shared" si="19"/>
        <v>Fails cap</v>
      </c>
      <c r="H60" s="76" t="str">
        <f t="shared" si="19"/>
        <v>Fails cap</v>
      </c>
      <c r="J60" s="89"/>
      <c r="O60" s="90"/>
    </row>
    <row r="61" ht="14.25" customHeight="1">
      <c r="B61" s="82">
        <v>0.7</v>
      </c>
      <c r="C61" s="76">
        <f t="shared" ref="C61:H61" si="20">IF(($C$13-$B61*C$27*($C$13-$C$18))&lt;=C$26+0.000001,C$25*1000/($C$12*($C$13-$B61*C$27*($C$13-$C$18)))/1000000,"Fails cap")</f>
        <v>5.02</v>
      </c>
      <c r="D61" s="76">
        <f t="shared" si="20"/>
        <v>8.153470096</v>
      </c>
      <c r="E61" s="76">
        <f t="shared" si="20"/>
        <v>9.566169784</v>
      </c>
      <c r="F61" s="76">
        <f t="shared" si="20"/>
        <v>7.516276259</v>
      </c>
      <c r="G61" s="76">
        <f t="shared" si="20"/>
        <v>6.149680576</v>
      </c>
      <c r="H61" s="76" t="str">
        <f t="shared" si="20"/>
        <v>Fails cap</v>
      </c>
      <c r="J61" s="89"/>
      <c r="O61" s="90"/>
    </row>
    <row r="62" ht="14.25" customHeight="1">
      <c r="B62" s="91">
        <v>0.78</v>
      </c>
      <c r="C62" s="92">
        <f t="shared" ref="C62:H62" si="21">IF(($C$13-$B62*C$27*($C$13-$C$18))&lt;=C$26+0.000001,C$25*1000/($C$12*($C$13-$B62*C$27*($C$13-$C$18)))/1000000,"Fails cap")</f>
        <v>5.02</v>
      </c>
      <c r="D62" s="92">
        <f t="shared" si="21"/>
        <v>9.100807202</v>
      </c>
      <c r="E62" s="92">
        <f t="shared" si="21"/>
        <v>11.91058402</v>
      </c>
      <c r="F62" s="92">
        <f t="shared" si="21"/>
        <v>9.358316016</v>
      </c>
      <c r="G62" s="92">
        <f t="shared" si="21"/>
        <v>7.656804013</v>
      </c>
      <c r="H62" s="92">
        <f t="shared" si="21"/>
        <v>6.12544321</v>
      </c>
      <c r="J62" s="89"/>
      <c r="O62" s="90"/>
    </row>
    <row r="63" ht="14.25" customHeight="1">
      <c r="B63" s="82">
        <v>0.9</v>
      </c>
      <c r="C63" s="76">
        <f t="shared" ref="C63:H63" si="22">IF(($C$13-$B63*C$27*($C$13-$C$18))&lt;=C$26+0.000001,C$25*1000/($C$12*($C$13-$B63*C$27*($C$13-$C$18)))/1000000,"Fails cap")</f>
        <v>5.02</v>
      </c>
      <c r="D63" s="76">
        <f t="shared" si="22"/>
        <v>11.02169348</v>
      </c>
      <c r="E63" s="76">
        <f t="shared" si="22"/>
        <v>18.83424363</v>
      </c>
      <c r="F63" s="76">
        <f t="shared" si="22"/>
        <v>14.79833428</v>
      </c>
      <c r="G63" s="76">
        <f t="shared" si="22"/>
        <v>12.10772805</v>
      </c>
      <c r="H63" s="76">
        <f t="shared" si="22"/>
        <v>9.686182436</v>
      </c>
      <c r="J63" s="89"/>
      <c r="O63" s="90"/>
    </row>
    <row r="64" ht="28.5" customHeight="1">
      <c r="B64" s="82">
        <v>1.0</v>
      </c>
      <c r="C64" s="76">
        <f t="shared" ref="C64:H64" si="23">IF(($C$13-$B64*C$27*($C$13-$C$18))&lt;=C$26+0.000001,C$25*1000/($C$12*($C$13-$B64*C$27*($C$13-$C$18)))/1000000,"Fails cap")</f>
        <v>5.02</v>
      </c>
      <c r="D64" s="76">
        <f t="shared" si="23"/>
        <v>13.37405192</v>
      </c>
      <c r="E64" s="76">
        <f t="shared" si="23"/>
        <v>36.53015385</v>
      </c>
      <c r="F64" s="76">
        <f t="shared" si="23"/>
        <v>28.70226374</v>
      </c>
      <c r="G64" s="76">
        <f t="shared" si="23"/>
        <v>23.48367033</v>
      </c>
      <c r="H64" s="76">
        <f t="shared" si="23"/>
        <v>18.78693626</v>
      </c>
      <c r="J64" s="93"/>
      <c r="K64" s="94"/>
      <c r="L64" s="94"/>
      <c r="M64" s="94"/>
      <c r="N64" s="94"/>
      <c r="O64" s="95"/>
    </row>
    <row r="65" ht="14.25" customHeight="1"/>
    <row r="66" ht="14.25" customHeight="1">
      <c r="B66" s="96" t="s">
        <v>195</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8">
    <mergeCell ref="B1:O1"/>
    <mergeCell ref="B2:O2"/>
    <mergeCell ref="E4:F4"/>
    <mergeCell ref="G4:H4"/>
    <mergeCell ref="J4:K4"/>
    <mergeCell ref="L4:M4"/>
    <mergeCell ref="N4:O4"/>
    <mergeCell ref="C4:D4"/>
    <mergeCell ref="C5:D5"/>
    <mergeCell ref="E5:F5"/>
    <mergeCell ref="G5:H5"/>
    <mergeCell ref="J5:K5"/>
    <mergeCell ref="L5:M5"/>
    <mergeCell ref="N5:O5"/>
    <mergeCell ref="C6:D6"/>
    <mergeCell ref="E6:F6"/>
    <mergeCell ref="G6:H6"/>
    <mergeCell ref="J6:K6"/>
    <mergeCell ref="L6:M6"/>
    <mergeCell ref="N6:O6"/>
    <mergeCell ref="B8:O8"/>
    <mergeCell ref="E13:H13"/>
    <mergeCell ref="E14:H14"/>
    <mergeCell ref="E16:H16"/>
    <mergeCell ref="E18:H18"/>
    <mergeCell ref="E20:H20"/>
    <mergeCell ref="E9:H9"/>
    <mergeCell ref="J9:O9"/>
    <mergeCell ref="E10:H10"/>
    <mergeCell ref="J10:O11"/>
    <mergeCell ref="E11:H11"/>
    <mergeCell ref="E12:H12"/>
    <mergeCell ref="J12:O13"/>
    <mergeCell ref="E21:H21"/>
    <mergeCell ref="B23:O23"/>
    <mergeCell ref="B30:O30"/>
    <mergeCell ref="B46:O46"/>
    <mergeCell ref="B55:O55"/>
    <mergeCell ref="J57:O57"/>
    <mergeCell ref="J58:O64"/>
    <mergeCell ref="B66:O66"/>
    <mergeCell ref="J14:O15"/>
    <mergeCell ref="E15:H15"/>
    <mergeCell ref="J16:O17"/>
    <mergeCell ref="E17:H17"/>
    <mergeCell ref="J18:O19"/>
    <mergeCell ref="E19:H19"/>
    <mergeCell ref="J20:O21"/>
  </mergeCells>
  <conditionalFormatting sqref="C35:H35">
    <cfRule type="expression" dxfId="0" priority="1">
      <formula>OR(LEFT(C35,3)="NOT",C35="FAIL",C35="CHECK",C35="No",C35="Not eligible")</formula>
    </cfRule>
  </conditionalFormatting>
  <conditionalFormatting sqref="C40:H40">
    <cfRule type="expression" dxfId="0" priority="2">
      <formula>OR(LEFT(C40,3)="NOT",C40="FAIL",C40="CHECK",C40="No",C40="Not eligible")</formula>
    </cfRule>
  </conditionalFormatting>
  <conditionalFormatting sqref="C57:H64">
    <cfRule type="expression" dxfId="1" priority="3" stopIfTrue="1">
      <formula>ISTEXT(C57)</formula>
    </cfRule>
  </conditionalFormatting>
  <conditionalFormatting sqref="C57:H64">
    <cfRule type="colorScale" priority="4">
      <colorScale>
        <cfvo type="min"/>
        <cfvo type="percentile" val="50"/>
        <cfvo type="max"/>
        <color rgb="FFFBE5D6"/>
        <color rgb="FFFFFFFF"/>
        <color rgb="FFA9D08E"/>
      </colorScale>
    </cfRule>
  </conditionalFormatting>
  <printOptions/>
  <pageMargins bottom="0.5" footer="0.0" header="0.0" left="0.4" right="0.4" top="0.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pageSetUpPr fitToPage="1"/>
  </sheetPr>
  <sheetViews>
    <sheetView showGridLines="0" workbookViewId="0"/>
  </sheetViews>
  <sheetFormatPr customHeight="1" defaultColWidth="14.43" defaultRowHeight="15.0"/>
  <cols>
    <col customWidth="1" min="1" max="1" width="2.0"/>
    <col customWidth="1" min="2" max="2" width="46.0"/>
    <col customWidth="1" min="3" max="3" width="14.71"/>
    <col customWidth="1" min="4" max="4" width="11.43"/>
    <col customWidth="1" min="5" max="5" width="13.29"/>
    <col customWidth="1" min="6" max="6" width="14.29"/>
    <col customWidth="1" min="7" max="7" width="13.14"/>
    <col customWidth="1" min="8" max="13" width="11.43"/>
    <col customWidth="1" min="14" max="14" width="50.0"/>
    <col customWidth="1" min="15" max="15" width="16.0"/>
    <col customWidth="1" min="16" max="16" width="16.29"/>
    <col customWidth="1" min="17" max="26" width="8.71"/>
  </cols>
  <sheetData>
    <row r="1" ht="30.0" customHeight="1">
      <c r="A1" s="37"/>
      <c r="B1" s="38" t="s">
        <v>224</v>
      </c>
      <c r="C1" s="39"/>
      <c r="D1" s="39"/>
      <c r="E1" s="39"/>
      <c r="F1" s="39"/>
      <c r="G1" s="39"/>
      <c r="H1" s="39"/>
      <c r="I1" s="39"/>
      <c r="J1" s="39"/>
      <c r="K1" s="39"/>
      <c r="L1" s="39"/>
      <c r="M1" s="39"/>
      <c r="N1" s="40"/>
    </row>
    <row r="2" ht="30.0" customHeight="1">
      <c r="B2" s="41" t="s">
        <v>225</v>
      </c>
      <c r="C2" s="39"/>
      <c r="D2" s="39"/>
      <c r="E2" s="39"/>
      <c r="F2" s="39"/>
      <c r="G2" s="39"/>
      <c r="H2" s="39"/>
      <c r="I2" s="39"/>
      <c r="J2" s="39"/>
      <c r="K2" s="39"/>
      <c r="L2" s="39"/>
      <c r="M2" s="39"/>
      <c r="N2" s="40"/>
    </row>
    <row r="3" ht="14.25" customHeight="1"/>
    <row r="4" ht="25.5" customHeight="1">
      <c r="B4" s="42" t="s">
        <v>226</v>
      </c>
      <c r="C4" s="43" t="s">
        <v>227</v>
      </c>
      <c r="D4" s="40"/>
      <c r="E4" s="43" t="s">
        <v>228</v>
      </c>
      <c r="F4" s="40"/>
      <c r="G4" s="43" t="s">
        <v>229</v>
      </c>
      <c r="H4" s="40"/>
      <c r="I4" s="43" t="s">
        <v>230</v>
      </c>
      <c r="J4" s="40"/>
      <c r="K4" s="43" t="s">
        <v>231</v>
      </c>
      <c r="L4" s="40"/>
      <c r="M4" s="43" t="s">
        <v>232</v>
      </c>
      <c r="N4" s="40"/>
    </row>
    <row r="5" ht="33.75" customHeight="1">
      <c r="B5" s="105">
        <f>C107</f>
        <v>940500</v>
      </c>
      <c r="C5" s="106">
        <f>C89</f>
        <v>896500</v>
      </c>
      <c r="D5" s="40"/>
      <c r="E5" s="107">
        <f>C117</f>
        <v>46478</v>
      </c>
      <c r="F5" s="40"/>
      <c r="G5" s="46">
        <f>D95</f>
        <v>0.9532163743</v>
      </c>
      <c r="H5" s="40"/>
      <c r="I5" s="46">
        <f>H77</f>
        <v>0.6620566105</v>
      </c>
      <c r="J5" s="40"/>
      <c r="K5" s="100" t="str">
        <f>COUNTIF(D78:H78,"Compliant")&amp;" / 5 years"</f>
        <v>5 / 5 years</v>
      </c>
      <c r="L5" s="40"/>
      <c r="M5" s="106">
        <f>E94</f>
        <v>188100</v>
      </c>
      <c r="N5" s="40"/>
    </row>
    <row r="6" ht="30.0" customHeight="1">
      <c r="B6" s="101" t="s">
        <v>234</v>
      </c>
      <c r="C6" s="102" t="str">
        <f>TEXT(C89/C107,"0.0%")&amp;" of the envelope"</f>
        <v>95.3% of the envelope</v>
      </c>
      <c r="D6" s="40"/>
      <c r="E6" s="102" t="s">
        <v>239</v>
      </c>
      <c r="F6" s="40"/>
      <c r="G6" s="102" t="str">
        <f>TEXT(E95,"0%")&amp;" from 2028 (Tranche 2)"</f>
        <v>100% from 2028 (Tranche 2)</v>
      </c>
      <c r="H6" s="40"/>
      <c r="I6" s="102" t="str">
        <f>"Target "&amp;TEXT('Emission Target'!C11,"0%")&amp;"; index "&amp;TEXT(H76,"0.0")</f>
        <v>Target 64%; index 33.8</v>
      </c>
      <c r="J6" s="40"/>
      <c r="K6" s="102" t="str">
        <f>"Lowest headroom "&amp;TEXT(MIN(D75:H75),"0.0%")</f>
        <v>Lowest headroom 6.1%</v>
      </c>
      <c r="L6" s="40"/>
      <c r="M6" s="102" t="s">
        <v>244</v>
      </c>
      <c r="N6" s="40"/>
    </row>
    <row r="7" ht="14.25" customHeight="1"/>
    <row r="8" ht="21.75" customHeight="1">
      <c r="B8" s="50" t="s">
        <v>245</v>
      </c>
      <c r="C8" s="39"/>
      <c r="D8" s="39"/>
      <c r="E8" s="39"/>
      <c r="F8" s="39"/>
      <c r="G8" s="39"/>
      <c r="H8" s="39"/>
      <c r="I8" s="39"/>
      <c r="J8" s="39"/>
      <c r="K8" s="39"/>
      <c r="L8" s="39"/>
      <c r="M8" s="39"/>
      <c r="N8" s="40"/>
    </row>
    <row r="9" ht="14.25" customHeight="1">
      <c r="B9" s="51" t="s">
        <v>246</v>
      </c>
      <c r="C9" s="51" t="s">
        <v>247</v>
      </c>
      <c r="D9" s="51" t="s">
        <v>249</v>
      </c>
      <c r="E9" s="51" t="s">
        <v>250</v>
      </c>
      <c r="F9" s="51" t="s">
        <v>252</v>
      </c>
      <c r="G9" s="51" t="s">
        <v>253</v>
      </c>
      <c r="H9" s="51" t="s">
        <v>254</v>
      </c>
      <c r="I9" s="51" t="s">
        <v>165</v>
      </c>
      <c r="J9" s="51" t="s">
        <v>166</v>
      </c>
      <c r="K9" s="51" t="s">
        <v>167</v>
      </c>
      <c r="L9" s="51" t="s">
        <v>168</v>
      </c>
      <c r="M9" s="51" t="s">
        <v>169</v>
      </c>
      <c r="N9" s="51" t="s">
        <v>256</v>
      </c>
    </row>
    <row r="10" ht="42.75" customHeight="1">
      <c r="B10" s="112" t="str">
        <f>'ESG_CAPEX OPEX'!A17</f>
        <v>Biomass boiler/furnace retrofit package</v>
      </c>
      <c r="C10" s="113" t="str">
        <f>'ESG_CAPEX OPEX'!H17</f>
        <v>Critical</v>
      </c>
      <c r="D10" s="109">
        <f>'ESG_CAPEX OPEX'!E17</f>
        <v>280000</v>
      </c>
      <c r="E10" s="111">
        <f t="shared" ref="E10:E20" si="1">D10*(1+$C$108)</f>
        <v>308000</v>
      </c>
      <c r="F10" s="115">
        <v>46388.0</v>
      </c>
      <c r="G10" s="115">
        <v>46478.0</v>
      </c>
      <c r="H10" s="57" t="str">
        <f t="shared" ref="H10:H20" si="2">"T"&amp;(YEAR(G10)-2026)&amp;" ("&amp;YEAR(G10)&amp;")"</f>
        <v>T1 (2027)</v>
      </c>
      <c r="I10" s="111">
        <f t="shared" ref="I10:I20" si="3">IF(YEAR($G10)=2027,$E10,0)</f>
        <v>308000</v>
      </c>
      <c r="J10" s="111">
        <f t="shared" ref="J10:J20" si="4">IF(YEAR($G10)=2028,$E10,0)</f>
        <v>0</v>
      </c>
      <c r="K10" s="111">
        <f t="shared" ref="K10:K20" si="5">IF(YEAR($G10)=2029,$E10,0)</f>
        <v>0</v>
      </c>
      <c r="L10" s="111">
        <f t="shared" ref="L10:L20" si="6">IF(YEAR($G10)=2030,$E10,0)</f>
        <v>0</v>
      </c>
      <c r="M10" s="111">
        <f t="shared" ref="M10:M20" si="7">IF(YEAR($G10)=2031,$E10,0)</f>
        <v>0</v>
      </c>
      <c r="N10" s="116" t="s">
        <v>263</v>
      </c>
    </row>
    <row r="11" ht="30.0" customHeight="1">
      <c r="B11" s="112" t="str">
        <f>'ESG_CAPEX OPEX'!A18</f>
        <v>Fuel receiving, conveyor &amp; automatic feeding</v>
      </c>
      <c r="C11" s="113" t="str">
        <f>'ESG_CAPEX OPEX'!H18</f>
        <v>Critical</v>
      </c>
      <c r="D11" s="109">
        <f>'ESG_CAPEX OPEX'!E18</f>
        <v>120000</v>
      </c>
      <c r="E11" s="111">
        <f t="shared" si="1"/>
        <v>132000</v>
      </c>
      <c r="F11" s="115">
        <v>46327.0</v>
      </c>
      <c r="G11" s="115">
        <v>46478.0</v>
      </c>
      <c r="H11" s="57" t="str">
        <f t="shared" si="2"/>
        <v>T1 (2027)</v>
      </c>
      <c r="I11" s="111">
        <f t="shared" si="3"/>
        <v>132000</v>
      </c>
      <c r="J11" s="111">
        <f t="shared" si="4"/>
        <v>0</v>
      </c>
      <c r="K11" s="111">
        <f t="shared" si="5"/>
        <v>0</v>
      </c>
      <c r="L11" s="111">
        <f t="shared" si="6"/>
        <v>0</v>
      </c>
      <c r="M11" s="111">
        <f t="shared" si="7"/>
        <v>0</v>
      </c>
      <c r="N11" s="116" t="s">
        <v>265</v>
      </c>
    </row>
    <row r="12" ht="42.75" customHeight="1">
      <c r="B12" s="112" t="str">
        <f>'ESG_CAPEX OPEX'!A19</f>
        <v>Covered biomass warehouse &amp; day silo</v>
      </c>
      <c r="C12" s="113" t="str">
        <f>'ESG_CAPEX OPEX'!H19</f>
        <v>Critical</v>
      </c>
      <c r="D12" s="109">
        <f>'ESG_CAPEX OPEX'!E19</f>
        <v>85000</v>
      </c>
      <c r="E12" s="111">
        <f t="shared" si="1"/>
        <v>93500</v>
      </c>
      <c r="F12" s="115">
        <v>46296.0</v>
      </c>
      <c r="G12" s="115">
        <v>46447.0</v>
      </c>
      <c r="H12" s="57" t="str">
        <f t="shared" si="2"/>
        <v>T1 (2027)</v>
      </c>
      <c r="I12" s="111">
        <f t="shared" si="3"/>
        <v>93500</v>
      </c>
      <c r="J12" s="111">
        <f t="shared" si="4"/>
        <v>0</v>
      </c>
      <c r="K12" s="111">
        <f t="shared" si="5"/>
        <v>0</v>
      </c>
      <c r="L12" s="111">
        <f t="shared" si="6"/>
        <v>0</v>
      </c>
      <c r="M12" s="111">
        <f t="shared" si="7"/>
        <v>0</v>
      </c>
      <c r="N12" s="116" t="s">
        <v>266</v>
      </c>
    </row>
    <row r="13" ht="30.0" customHeight="1">
      <c r="B13" s="112" t="str">
        <f>'ESG_CAPEX OPEX'!A20</f>
        <v>Ash extraction &amp; handling system</v>
      </c>
      <c r="C13" s="113" t="str">
        <f>'ESG_CAPEX OPEX'!H20</f>
        <v>High</v>
      </c>
      <c r="D13" s="109">
        <f>'ESG_CAPEX OPEX'!E20</f>
        <v>45000</v>
      </c>
      <c r="E13" s="111">
        <f t="shared" si="1"/>
        <v>49500</v>
      </c>
      <c r="F13" s="115">
        <v>46388.0</v>
      </c>
      <c r="G13" s="115">
        <v>46478.0</v>
      </c>
      <c r="H13" s="57" t="str">
        <f t="shared" si="2"/>
        <v>T1 (2027)</v>
      </c>
      <c r="I13" s="111">
        <f t="shared" si="3"/>
        <v>49500</v>
      </c>
      <c r="J13" s="111">
        <f t="shared" si="4"/>
        <v>0</v>
      </c>
      <c r="K13" s="111">
        <f t="shared" si="5"/>
        <v>0</v>
      </c>
      <c r="L13" s="111">
        <f t="shared" si="6"/>
        <v>0</v>
      </c>
      <c r="M13" s="111">
        <f t="shared" si="7"/>
        <v>0</v>
      </c>
      <c r="N13" s="116" t="s">
        <v>267</v>
      </c>
    </row>
    <row r="14" ht="30.0" customHeight="1">
      <c r="B14" s="112" t="str">
        <f>'ESG_CAPEX OPEX'!A21</f>
        <v>Multi-cyclone + bag filter upgrade</v>
      </c>
      <c r="C14" s="113" t="str">
        <f>'ESG_CAPEX OPEX'!H21</f>
        <v>Critical</v>
      </c>
      <c r="D14" s="109">
        <f>'ESG_CAPEX OPEX'!E21</f>
        <v>95000</v>
      </c>
      <c r="E14" s="111">
        <f t="shared" si="1"/>
        <v>104500</v>
      </c>
      <c r="F14" s="115">
        <v>46388.0</v>
      </c>
      <c r="G14" s="115">
        <v>46478.0</v>
      </c>
      <c r="H14" s="57" t="str">
        <f t="shared" si="2"/>
        <v>T1 (2027)</v>
      </c>
      <c r="I14" s="111">
        <f t="shared" si="3"/>
        <v>104500</v>
      </c>
      <c r="J14" s="111">
        <f t="shared" si="4"/>
        <v>0</v>
      </c>
      <c r="K14" s="111">
        <f t="shared" si="5"/>
        <v>0</v>
      </c>
      <c r="L14" s="111">
        <f t="shared" si="6"/>
        <v>0</v>
      </c>
      <c r="M14" s="111">
        <f t="shared" si="7"/>
        <v>0</v>
      </c>
      <c r="N14" s="116" t="s">
        <v>268</v>
      </c>
    </row>
    <row r="15" ht="30.0" customHeight="1">
      <c r="B15" s="112" t="str">
        <f>'ESG_CAPEX OPEX'!A22</f>
        <v>Stack emission &amp; energy metering system</v>
      </c>
      <c r="C15" s="113" t="str">
        <f>'ESG_CAPEX OPEX'!H22</f>
        <v>High</v>
      </c>
      <c r="D15" s="109">
        <f>'ESG_CAPEX OPEX'!E22</f>
        <v>35000</v>
      </c>
      <c r="E15" s="111">
        <f t="shared" si="1"/>
        <v>38500</v>
      </c>
      <c r="F15" s="115">
        <v>46296.0</v>
      </c>
      <c r="G15" s="115">
        <v>46388.0</v>
      </c>
      <c r="H15" s="57" t="str">
        <f t="shared" si="2"/>
        <v>T1 (2027)</v>
      </c>
      <c r="I15" s="111">
        <f t="shared" si="3"/>
        <v>38500</v>
      </c>
      <c r="J15" s="111">
        <f t="shared" si="4"/>
        <v>0</v>
      </c>
      <c r="K15" s="111">
        <f t="shared" si="5"/>
        <v>0</v>
      </c>
      <c r="L15" s="111">
        <f t="shared" si="6"/>
        <v>0</v>
      </c>
      <c r="M15" s="111">
        <f t="shared" si="7"/>
        <v>0</v>
      </c>
      <c r="N15" s="116" t="s">
        <v>269</v>
      </c>
    </row>
    <row r="16" ht="42.75" customHeight="1">
      <c r="B16" s="112" t="str">
        <f>'ESG_CAPEX OPEX'!A23</f>
        <v>Water treatment &amp; condensate recovery upgrade</v>
      </c>
      <c r="C16" s="113" t="str">
        <f>'ESG_CAPEX OPEX'!H23</f>
        <v>Medium</v>
      </c>
      <c r="D16" s="109">
        <f>'ESG_CAPEX OPEX'!E23</f>
        <v>40000</v>
      </c>
      <c r="E16" s="111">
        <f t="shared" si="1"/>
        <v>44000</v>
      </c>
      <c r="F16" s="115">
        <v>46661.0</v>
      </c>
      <c r="G16" s="115">
        <v>46813.0</v>
      </c>
      <c r="H16" s="57" t="str">
        <f t="shared" si="2"/>
        <v>T2 (2028)</v>
      </c>
      <c r="I16" s="111">
        <f t="shared" si="3"/>
        <v>0</v>
      </c>
      <c r="J16" s="111">
        <f t="shared" si="4"/>
        <v>44000</v>
      </c>
      <c r="K16" s="111">
        <f t="shared" si="5"/>
        <v>0</v>
      </c>
      <c r="L16" s="111">
        <f t="shared" si="6"/>
        <v>0</v>
      </c>
      <c r="M16" s="111">
        <f t="shared" si="7"/>
        <v>0</v>
      </c>
      <c r="N16" s="116" t="s">
        <v>270</v>
      </c>
    </row>
    <row r="17" ht="30.0" customHeight="1">
      <c r="B17" s="112" t="str">
        <f>'ESG_CAPEX OPEX'!A24</f>
        <v>Fire detection, dust control &amp; safety system</v>
      </c>
      <c r="C17" s="113" t="str">
        <f>'ESG_CAPEX OPEX'!H24</f>
        <v>Critical</v>
      </c>
      <c r="D17" s="109">
        <f>'ESG_CAPEX OPEX'!E24</f>
        <v>30000</v>
      </c>
      <c r="E17" s="111">
        <f t="shared" si="1"/>
        <v>33000</v>
      </c>
      <c r="F17" s="115">
        <v>46327.0</v>
      </c>
      <c r="G17" s="115">
        <v>46447.0</v>
      </c>
      <c r="H17" s="57" t="str">
        <f t="shared" si="2"/>
        <v>T1 (2027)</v>
      </c>
      <c r="I17" s="111">
        <f t="shared" si="3"/>
        <v>33000</v>
      </c>
      <c r="J17" s="111">
        <f t="shared" si="4"/>
        <v>0</v>
      </c>
      <c r="K17" s="111">
        <f t="shared" si="5"/>
        <v>0</v>
      </c>
      <c r="L17" s="111">
        <f t="shared" si="6"/>
        <v>0</v>
      </c>
      <c r="M17" s="111">
        <f t="shared" si="7"/>
        <v>0</v>
      </c>
      <c r="N17" s="116" t="s">
        <v>271</v>
      </c>
    </row>
    <row r="18" ht="30.0" customHeight="1">
      <c r="B18" s="112" t="str">
        <f>'ESG_CAPEX OPEX'!A25</f>
        <v>Civil, electrical &amp; piping modification</v>
      </c>
      <c r="C18" s="113" t="str">
        <f>'ESG_CAPEX OPEX'!H25</f>
        <v>High</v>
      </c>
      <c r="D18" s="109">
        <f>'ESG_CAPEX OPEX'!E25</f>
        <v>55000</v>
      </c>
      <c r="E18" s="111">
        <f t="shared" si="1"/>
        <v>60500</v>
      </c>
      <c r="F18" s="115">
        <v>46296.0</v>
      </c>
      <c r="G18" s="115">
        <v>46447.0</v>
      </c>
      <c r="H18" s="57" t="str">
        <f t="shared" si="2"/>
        <v>T1 (2027)</v>
      </c>
      <c r="I18" s="111">
        <f t="shared" si="3"/>
        <v>60500</v>
      </c>
      <c r="J18" s="111">
        <f t="shared" si="4"/>
        <v>0</v>
      </c>
      <c r="K18" s="111">
        <f t="shared" si="5"/>
        <v>0</v>
      </c>
      <c r="L18" s="111">
        <f t="shared" si="6"/>
        <v>0</v>
      </c>
      <c r="M18" s="111">
        <f t="shared" si="7"/>
        <v>0</v>
      </c>
      <c r="N18" s="116" t="s">
        <v>272</v>
      </c>
    </row>
    <row r="19" ht="30.0" customHeight="1">
      <c r="B19" s="112" t="str">
        <f>'ESG_CAPEX OPEX'!A26</f>
        <v>Engineering, commissioning &amp; performance test</v>
      </c>
      <c r="C19" s="113" t="str">
        <f>'ESG_CAPEX OPEX'!H26</f>
        <v>High</v>
      </c>
      <c r="D19" s="109">
        <f>'ESG_CAPEX OPEX'!E26</f>
        <v>45000</v>
      </c>
      <c r="E19" s="111">
        <f t="shared" si="1"/>
        <v>49500</v>
      </c>
      <c r="F19" s="115">
        <v>46296.0</v>
      </c>
      <c r="G19" s="115">
        <v>46478.0</v>
      </c>
      <c r="H19" s="57" t="str">
        <f t="shared" si="2"/>
        <v>T1 (2027)</v>
      </c>
      <c r="I19" s="111">
        <f t="shared" si="3"/>
        <v>49500</v>
      </c>
      <c r="J19" s="111">
        <f t="shared" si="4"/>
        <v>0</v>
      </c>
      <c r="K19" s="111">
        <f t="shared" si="5"/>
        <v>0</v>
      </c>
      <c r="L19" s="111">
        <f t="shared" si="6"/>
        <v>0</v>
      </c>
      <c r="M19" s="111">
        <f t="shared" si="7"/>
        <v>0</v>
      </c>
      <c r="N19" s="116" t="s">
        <v>273</v>
      </c>
    </row>
    <row r="20" ht="30.0" customHeight="1">
      <c r="B20" s="112" t="str">
        <f>'ESG_CAPEX OPEX'!A27</f>
        <v>ESG certification/traceability setup</v>
      </c>
      <c r="C20" s="113" t="str">
        <f>'ESG_CAPEX OPEX'!H27</f>
        <v>Medium</v>
      </c>
      <c r="D20" s="109">
        <f>'ESG_CAPEX OPEX'!E27</f>
        <v>25000</v>
      </c>
      <c r="E20" s="111">
        <f t="shared" si="1"/>
        <v>27500</v>
      </c>
      <c r="F20" s="115">
        <v>46327.0</v>
      </c>
      <c r="G20" s="115">
        <v>46419.0</v>
      </c>
      <c r="H20" s="57" t="str">
        <f t="shared" si="2"/>
        <v>T1 (2027)</v>
      </c>
      <c r="I20" s="111">
        <f t="shared" si="3"/>
        <v>27500</v>
      </c>
      <c r="J20" s="111">
        <f t="shared" si="4"/>
        <v>0</v>
      </c>
      <c r="K20" s="111">
        <f t="shared" si="5"/>
        <v>0</v>
      </c>
      <c r="L20" s="111">
        <f t="shared" si="6"/>
        <v>0</v>
      </c>
      <c r="M20" s="111">
        <f t="shared" si="7"/>
        <v>0</v>
      </c>
      <c r="N20" s="116" t="s">
        <v>275</v>
      </c>
    </row>
    <row r="21" ht="14.25" customHeight="1">
      <c r="B21" s="78" t="s">
        <v>276</v>
      </c>
      <c r="C21" s="78"/>
      <c r="D21" s="117">
        <f t="shared" ref="D21:E21" si="8">SUM(D10:D20)</f>
        <v>855000</v>
      </c>
      <c r="E21" s="117">
        <f t="shared" si="8"/>
        <v>940500</v>
      </c>
      <c r="F21" s="78"/>
      <c r="G21" s="78"/>
      <c r="H21" s="78"/>
      <c r="I21" s="117">
        <f t="shared" ref="I21:M21" si="9">SUM(I10:I20)</f>
        <v>896500</v>
      </c>
      <c r="J21" s="117">
        <f t="shared" si="9"/>
        <v>44000</v>
      </c>
      <c r="K21" s="117">
        <f t="shared" si="9"/>
        <v>0</v>
      </c>
      <c r="L21" s="117">
        <f t="shared" si="9"/>
        <v>0</v>
      </c>
      <c r="M21" s="117">
        <f t="shared" si="9"/>
        <v>0</v>
      </c>
      <c r="N21" s="116" t="s">
        <v>277</v>
      </c>
    </row>
    <row r="22" ht="14.25" customHeight="1">
      <c r="B22" s="55" t="s">
        <v>278</v>
      </c>
      <c r="C22" s="118"/>
      <c r="D22" s="118"/>
      <c r="E22" s="118"/>
      <c r="F22" s="118"/>
      <c r="G22" s="118"/>
      <c r="H22" s="118"/>
      <c r="I22" s="111">
        <f>I21</f>
        <v>896500</v>
      </c>
      <c r="J22" s="111">
        <f t="shared" ref="J22:M22" si="10">J21+I22</f>
        <v>940500</v>
      </c>
      <c r="K22" s="111">
        <f t="shared" si="10"/>
        <v>940500</v>
      </c>
      <c r="L22" s="111">
        <f t="shared" si="10"/>
        <v>940500</v>
      </c>
      <c r="M22" s="111">
        <f t="shared" si="10"/>
        <v>940500</v>
      </c>
      <c r="N22" s="119" t="s">
        <v>279</v>
      </c>
    </row>
    <row r="23" ht="14.25" customHeight="1">
      <c r="B23" s="78" t="s">
        <v>280</v>
      </c>
      <c r="C23" s="78"/>
      <c r="D23" s="78"/>
      <c r="E23" s="78"/>
      <c r="F23" s="78"/>
      <c r="G23" s="78"/>
      <c r="H23" s="78"/>
      <c r="I23" s="120">
        <f t="shared" ref="I23:M23" si="11">I22/$C$107</f>
        <v>0.9532163743</v>
      </c>
      <c r="J23" s="120">
        <f t="shared" si="11"/>
        <v>1</v>
      </c>
      <c r="K23" s="120">
        <f t="shared" si="11"/>
        <v>1</v>
      </c>
      <c r="L23" s="120">
        <f t="shared" si="11"/>
        <v>1</v>
      </c>
      <c r="M23" s="120">
        <f t="shared" si="11"/>
        <v>1</v>
      </c>
      <c r="N23" s="121"/>
    </row>
    <row r="24" ht="14.25" customHeight="1">
      <c r="B24" s="122" t="s">
        <v>281</v>
      </c>
      <c r="C24" s="118"/>
      <c r="D24" s="118"/>
      <c r="E24" s="77" t="str">
        <f>IF(ABS(E21-C107)&lt;1,"OK","CHECK")</f>
        <v>OK</v>
      </c>
      <c r="F24" s="118"/>
      <c r="G24" s="118"/>
      <c r="H24" s="118"/>
      <c r="I24" s="118"/>
      <c r="J24" s="118"/>
      <c r="K24" s="118"/>
      <c r="L24" s="118"/>
      <c r="M24" s="118"/>
      <c r="N24" s="123"/>
    </row>
    <row r="25" ht="14.25" customHeight="1"/>
    <row r="26" ht="21.75" customHeight="1">
      <c r="B26" s="50" t="s">
        <v>282</v>
      </c>
      <c r="C26" s="39"/>
      <c r="D26" s="39"/>
      <c r="E26" s="39"/>
      <c r="F26" s="39"/>
      <c r="G26" s="39"/>
      <c r="H26" s="39"/>
      <c r="I26" s="39"/>
      <c r="J26" s="39"/>
      <c r="K26" s="39"/>
      <c r="L26" s="39"/>
      <c r="M26" s="39"/>
      <c r="N26" s="39"/>
      <c r="O26" s="39"/>
      <c r="P26" s="40"/>
    </row>
    <row r="27" ht="19.5" customHeight="1">
      <c r="B27" s="124" t="s">
        <v>283</v>
      </c>
      <c r="C27" s="51" t="s">
        <v>164</v>
      </c>
      <c r="D27" s="125" t="s">
        <v>165</v>
      </c>
      <c r="E27" s="39"/>
      <c r="F27" s="39"/>
      <c r="G27" s="40"/>
      <c r="H27" s="125" t="s">
        <v>166</v>
      </c>
      <c r="I27" s="39"/>
      <c r="J27" s="39"/>
      <c r="K27" s="40"/>
      <c r="L27" s="125" t="s">
        <v>167</v>
      </c>
      <c r="M27" s="40"/>
      <c r="N27" s="126" t="s">
        <v>286</v>
      </c>
      <c r="O27" s="126" t="s">
        <v>287</v>
      </c>
      <c r="P27" s="126" t="s">
        <v>288</v>
      </c>
    </row>
    <row r="28" ht="19.5" customHeight="1">
      <c r="B28" s="124" t="s">
        <v>289</v>
      </c>
      <c r="C28" s="51" t="s">
        <v>290</v>
      </c>
      <c r="D28" s="51" t="s">
        <v>291</v>
      </c>
      <c r="E28" s="51" t="s">
        <v>292</v>
      </c>
      <c r="F28" s="51" t="s">
        <v>293</v>
      </c>
      <c r="G28" s="51" t="s">
        <v>294</v>
      </c>
      <c r="H28" s="51" t="s">
        <v>295</v>
      </c>
      <c r="I28" s="51" t="s">
        <v>296</v>
      </c>
      <c r="J28" s="51" t="s">
        <v>297</v>
      </c>
      <c r="K28" s="51" t="s">
        <v>298</v>
      </c>
      <c r="L28" s="51" t="s">
        <v>299</v>
      </c>
      <c r="M28" s="51" t="s">
        <v>300</v>
      </c>
      <c r="N28" s="123"/>
      <c r="O28" s="123"/>
      <c r="P28" s="123"/>
    </row>
    <row r="29" ht="14.25" customHeight="1">
      <c r="B29" s="73" t="s">
        <v>301</v>
      </c>
      <c r="C29" s="127" t="str">
        <f t="shared" ref="C29:C41" si="12">IF(AND($P29&gt;=DATE(2026,10,1),$P29&lt;DATE(2026,13,1)),DAY($P29)&amp;" "&amp;CHOOSE(MONTH($P29),"Jan","Feb","Mar","Apr","May","Jun","Jul","Aug","Sep","Oct","Nov","Dec"),"")</f>
        <v/>
      </c>
      <c r="D29" s="127" t="str">
        <f t="shared" ref="D29:D41" si="13">IF(AND($P29&gt;=DATE(2027,1,1),$P29&lt;DATE(2027,4,1)),DAY($P29)&amp;" "&amp;CHOOSE(MONTH($P29),"Jan","Feb","Mar","Apr","May","Jun","Jul","Aug","Sep","Oct","Nov","Dec"),"")</f>
        <v/>
      </c>
      <c r="E29" s="127" t="str">
        <f t="shared" ref="E29:E41" si="14">IF(AND($P29&gt;=DATE(2027,4,1),$P29&lt;DATE(2027,7,1)),DAY($P29)&amp;" "&amp;CHOOSE(MONTH($P29),"Jan","Feb","Mar","Apr","May","Jun","Jul","Aug","Sep","Oct","Nov","Dec"),"")</f>
        <v>1 Apr</v>
      </c>
      <c r="F29" s="127" t="str">
        <f t="shared" ref="F29:F41" si="15">IF(AND($P29&gt;=DATE(2027,7,1),$P29&lt;DATE(2027,10,1)),DAY($P29)&amp;" "&amp;CHOOSE(MONTH($P29),"Jan","Feb","Mar","Apr","May","Jun","Jul","Aug","Sep","Oct","Nov","Dec"),"")</f>
        <v/>
      </c>
      <c r="G29" s="127" t="str">
        <f t="shared" ref="G29:G41" si="16">IF(AND($P29&gt;=DATE(2027,10,1),$P29&lt;DATE(2027,13,1)),DAY($P29)&amp;" "&amp;CHOOSE(MONTH($P29),"Jan","Feb","Mar","Apr","May","Jun","Jul","Aug","Sep","Oct","Nov","Dec"),"")</f>
        <v/>
      </c>
      <c r="H29" s="127" t="str">
        <f t="shared" ref="H29:H41" si="17">IF(AND($P29&gt;=DATE(2028,1,1),$P29&lt;DATE(2028,4,1)),DAY($P29)&amp;" "&amp;CHOOSE(MONTH($P29),"Jan","Feb","Mar","Apr","May","Jun","Jul","Aug","Sep","Oct","Nov","Dec"),"")</f>
        <v/>
      </c>
      <c r="I29" s="127" t="str">
        <f t="shared" ref="I29:I41" si="18">IF(AND($P29&gt;=DATE(2028,4,1),$P29&lt;DATE(2028,7,1)),DAY($P29)&amp;" "&amp;CHOOSE(MONTH($P29),"Jan","Feb","Mar","Apr","May","Jun","Jul","Aug","Sep","Oct","Nov","Dec"),"")</f>
        <v/>
      </c>
      <c r="J29" s="127" t="str">
        <f t="shared" ref="J29:J41" si="19">IF(AND($P29&gt;=DATE(2028,7,1),$P29&lt;DATE(2028,10,1)),DAY($P29)&amp;" "&amp;CHOOSE(MONTH($P29),"Jan","Feb","Mar","Apr","May","Jun","Jul","Aug","Sep","Oct","Nov","Dec"),"")</f>
        <v/>
      </c>
      <c r="K29" s="127" t="str">
        <f t="shared" ref="K29:K41" si="20">IF(AND($P29&gt;=DATE(2028,10,1),$P29&lt;DATE(2028,13,1)),DAY($P29)&amp;" "&amp;CHOOSE(MONTH($P29),"Jan","Feb","Mar","Apr","May","Jun","Jul","Aug","Sep","Oct","Nov","Dec"),"")</f>
        <v/>
      </c>
      <c r="L29" s="127" t="str">
        <f t="shared" ref="L29:L41" si="21">IF(AND($P29&gt;=DATE(2029,1,1),$P29&lt;DATE(2029,4,1)),DAY($P29)&amp;" "&amp;CHOOSE(MONTH($P29),"Jan","Feb","Mar","Apr","May","Jun","Jul","Aug","Sep","Oct","Nov","Dec"),"")</f>
        <v/>
      </c>
      <c r="M29" s="127" t="str">
        <f t="shared" ref="M29:M41" si="22">IF(AND($P29&gt;=DATE(2029,4,1),$P29&lt;DATE(2029,7,1)),DAY($P29)&amp;" "&amp;CHOOSE(MONTH($P29),"Jan","Feb","Mar","Apr","May","Jun","Jul","Aug","Sep","Oct","Nov","Dec"),"")</f>
        <v/>
      </c>
      <c r="N29" s="139" t="str">
        <f t="shared" ref="N29:N41" si="23">CHOOSE(MONTH(O29),"Jan","Feb","Mar","Apr","May","Jun","Jul","Aug","Sep","Oct","Nov","Dec")&amp;" "&amp;YEAR(O29)&amp;" → "&amp;DAY(P29)&amp;" "&amp;CHOOSE(MONTH(P29),"Jan","Feb","Mar","Apr","May","Jun","Jul","Aug","Sep","Oct","Nov","Dec")&amp;" "&amp;YEAR(P29)&amp;"  ("&amp;((YEAR(P29)-YEAR(O29))*12+MONTH(P29)-MONTH(O29))&amp;" months)"</f>
        <v>Oct 2026 → 1 Apr 2027  (6 months)</v>
      </c>
      <c r="O29" s="140">
        <f>MIN(F15,F12,F18,F19,F11,F17,F20,F10,F13,F14)</f>
        <v>46296</v>
      </c>
      <c r="P29" s="140">
        <f>MAX(G15,G12,G18,G19,G11,G17,G20,G10,G13,G14)</f>
        <v>46478</v>
      </c>
    </row>
    <row r="30" ht="14.25" customHeight="1">
      <c r="B30" s="55" t="str">
        <f>B15</f>
        <v>Stack emission &amp; energy metering system</v>
      </c>
      <c r="C30" s="127" t="str">
        <f t="shared" si="12"/>
        <v/>
      </c>
      <c r="D30" s="127" t="str">
        <f t="shared" si="13"/>
        <v>1 Jan</v>
      </c>
      <c r="E30" s="127" t="str">
        <f t="shared" si="14"/>
        <v/>
      </c>
      <c r="F30" s="127" t="str">
        <f t="shared" si="15"/>
        <v/>
      </c>
      <c r="G30" s="127" t="str">
        <f t="shared" si="16"/>
        <v/>
      </c>
      <c r="H30" s="127" t="str">
        <f t="shared" si="17"/>
        <v/>
      </c>
      <c r="I30" s="127" t="str">
        <f t="shared" si="18"/>
        <v/>
      </c>
      <c r="J30" s="127" t="str">
        <f t="shared" si="19"/>
        <v/>
      </c>
      <c r="K30" s="127" t="str">
        <f t="shared" si="20"/>
        <v/>
      </c>
      <c r="L30" s="127" t="str">
        <f t="shared" si="21"/>
        <v/>
      </c>
      <c r="M30" s="127" t="str">
        <f t="shared" si="22"/>
        <v/>
      </c>
      <c r="N30" s="139" t="str">
        <f t="shared" si="23"/>
        <v>Oct 2026 → 1 Jan 2027  (3 months)</v>
      </c>
      <c r="O30" s="140">
        <f t="shared" ref="O30:P30" si="24">F15</f>
        <v>46296</v>
      </c>
      <c r="P30" s="140">
        <f t="shared" si="24"/>
        <v>46388</v>
      </c>
    </row>
    <row r="31" ht="14.25" customHeight="1">
      <c r="B31" s="55" t="str">
        <f>B12</f>
        <v>Covered biomass warehouse &amp; day silo</v>
      </c>
      <c r="C31" s="127" t="str">
        <f t="shared" si="12"/>
        <v/>
      </c>
      <c r="D31" s="127" t="str">
        <f t="shared" si="13"/>
        <v>1 Mar</v>
      </c>
      <c r="E31" s="127" t="str">
        <f t="shared" si="14"/>
        <v/>
      </c>
      <c r="F31" s="127" t="str">
        <f t="shared" si="15"/>
        <v/>
      </c>
      <c r="G31" s="127" t="str">
        <f t="shared" si="16"/>
        <v/>
      </c>
      <c r="H31" s="127" t="str">
        <f t="shared" si="17"/>
        <v/>
      </c>
      <c r="I31" s="127" t="str">
        <f t="shared" si="18"/>
        <v/>
      </c>
      <c r="J31" s="127" t="str">
        <f t="shared" si="19"/>
        <v/>
      </c>
      <c r="K31" s="127" t="str">
        <f t="shared" si="20"/>
        <v/>
      </c>
      <c r="L31" s="127" t="str">
        <f t="shared" si="21"/>
        <v/>
      </c>
      <c r="M31" s="127" t="str">
        <f t="shared" si="22"/>
        <v/>
      </c>
      <c r="N31" s="139" t="str">
        <f t="shared" si="23"/>
        <v>Oct 2026 → 1 Mar 2027  (5 months)</v>
      </c>
      <c r="O31" s="140">
        <f t="shared" ref="O31:P31" si="25">F12</f>
        <v>46296</v>
      </c>
      <c r="P31" s="140">
        <f t="shared" si="25"/>
        <v>46447</v>
      </c>
    </row>
    <row r="32" ht="14.25" customHeight="1">
      <c r="B32" s="55" t="str">
        <f t="shared" ref="B32:B33" si="27">B18</f>
        <v>Civil, electrical &amp; piping modification</v>
      </c>
      <c r="C32" s="127" t="str">
        <f t="shared" si="12"/>
        <v/>
      </c>
      <c r="D32" s="127" t="str">
        <f t="shared" si="13"/>
        <v>1 Mar</v>
      </c>
      <c r="E32" s="127" t="str">
        <f t="shared" si="14"/>
        <v/>
      </c>
      <c r="F32" s="127" t="str">
        <f t="shared" si="15"/>
        <v/>
      </c>
      <c r="G32" s="127" t="str">
        <f t="shared" si="16"/>
        <v/>
      </c>
      <c r="H32" s="127" t="str">
        <f t="shared" si="17"/>
        <v/>
      </c>
      <c r="I32" s="127" t="str">
        <f t="shared" si="18"/>
        <v/>
      </c>
      <c r="J32" s="127" t="str">
        <f t="shared" si="19"/>
        <v/>
      </c>
      <c r="K32" s="127" t="str">
        <f t="shared" si="20"/>
        <v/>
      </c>
      <c r="L32" s="127" t="str">
        <f t="shared" si="21"/>
        <v/>
      </c>
      <c r="M32" s="127" t="str">
        <f t="shared" si="22"/>
        <v/>
      </c>
      <c r="N32" s="139" t="str">
        <f t="shared" si="23"/>
        <v>Oct 2026 → 1 Mar 2027  (5 months)</v>
      </c>
      <c r="O32" s="140">
        <f t="shared" ref="O32:P32" si="26">F18</f>
        <v>46296</v>
      </c>
      <c r="P32" s="140">
        <f t="shared" si="26"/>
        <v>46447</v>
      </c>
    </row>
    <row r="33" ht="14.25" customHeight="1">
      <c r="B33" s="55" t="str">
        <f t="shared" si="27"/>
        <v>Engineering, commissioning &amp; performance test</v>
      </c>
      <c r="C33" s="127" t="str">
        <f t="shared" si="12"/>
        <v/>
      </c>
      <c r="D33" s="127" t="str">
        <f t="shared" si="13"/>
        <v/>
      </c>
      <c r="E33" s="127" t="str">
        <f t="shared" si="14"/>
        <v>1 Apr</v>
      </c>
      <c r="F33" s="127" t="str">
        <f t="shared" si="15"/>
        <v/>
      </c>
      <c r="G33" s="127" t="str">
        <f t="shared" si="16"/>
        <v/>
      </c>
      <c r="H33" s="127" t="str">
        <f t="shared" si="17"/>
        <v/>
      </c>
      <c r="I33" s="127" t="str">
        <f t="shared" si="18"/>
        <v/>
      </c>
      <c r="J33" s="127" t="str">
        <f t="shared" si="19"/>
        <v/>
      </c>
      <c r="K33" s="127" t="str">
        <f t="shared" si="20"/>
        <v/>
      </c>
      <c r="L33" s="127" t="str">
        <f t="shared" si="21"/>
        <v/>
      </c>
      <c r="M33" s="127" t="str">
        <f t="shared" si="22"/>
        <v/>
      </c>
      <c r="N33" s="139" t="str">
        <f t="shared" si="23"/>
        <v>Oct 2026 → 1 Apr 2027  (6 months)</v>
      </c>
      <c r="O33" s="140">
        <f t="shared" ref="O33:P33" si="28">F19</f>
        <v>46296</v>
      </c>
      <c r="P33" s="140">
        <f t="shared" si="28"/>
        <v>46478</v>
      </c>
    </row>
    <row r="34" ht="14.25" customHeight="1">
      <c r="B34" s="55" t="str">
        <f>B11</f>
        <v>Fuel receiving, conveyor &amp; automatic feeding</v>
      </c>
      <c r="C34" s="127" t="str">
        <f t="shared" si="12"/>
        <v/>
      </c>
      <c r="D34" s="127" t="str">
        <f t="shared" si="13"/>
        <v/>
      </c>
      <c r="E34" s="127" t="str">
        <f t="shared" si="14"/>
        <v>1 Apr</v>
      </c>
      <c r="F34" s="127" t="str">
        <f t="shared" si="15"/>
        <v/>
      </c>
      <c r="G34" s="127" t="str">
        <f t="shared" si="16"/>
        <v/>
      </c>
      <c r="H34" s="127" t="str">
        <f t="shared" si="17"/>
        <v/>
      </c>
      <c r="I34" s="127" t="str">
        <f t="shared" si="18"/>
        <v/>
      </c>
      <c r="J34" s="127" t="str">
        <f t="shared" si="19"/>
        <v/>
      </c>
      <c r="K34" s="127" t="str">
        <f t="shared" si="20"/>
        <v/>
      </c>
      <c r="L34" s="127" t="str">
        <f t="shared" si="21"/>
        <v/>
      </c>
      <c r="M34" s="127" t="str">
        <f t="shared" si="22"/>
        <v/>
      </c>
      <c r="N34" s="139" t="str">
        <f t="shared" si="23"/>
        <v>Nov 2026 → 1 Apr 2027  (5 months)</v>
      </c>
      <c r="O34" s="140">
        <f t="shared" ref="O34:P34" si="29">F11</f>
        <v>46327</v>
      </c>
      <c r="P34" s="140">
        <f t="shared" si="29"/>
        <v>46478</v>
      </c>
    </row>
    <row r="35" ht="14.25" customHeight="1">
      <c r="B35" s="55" t="str">
        <f>B17</f>
        <v>Fire detection, dust control &amp; safety system</v>
      </c>
      <c r="C35" s="127" t="str">
        <f t="shared" si="12"/>
        <v/>
      </c>
      <c r="D35" s="127" t="str">
        <f t="shared" si="13"/>
        <v>1 Mar</v>
      </c>
      <c r="E35" s="127" t="str">
        <f t="shared" si="14"/>
        <v/>
      </c>
      <c r="F35" s="127" t="str">
        <f t="shared" si="15"/>
        <v/>
      </c>
      <c r="G35" s="127" t="str">
        <f t="shared" si="16"/>
        <v/>
      </c>
      <c r="H35" s="127" t="str">
        <f t="shared" si="17"/>
        <v/>
      </c>
      <c r="I35" s="127" t="str">
        <f t="shared" si="18"/>
        <v/>
      </c>
      <c r="J35" s="127" t="str">
        <f t="shared" si="19"/>
        <v/>
      </c>
      <c r="K35" s="127" t="str">
        <f t="shared" si="20"/>
        <v/>
      </c>
      <c r="L35" s="127" t="str">
        <f t="shared" si="21"/>
        <v/>
      </c>
      <c r="M35" s="127" t="str">
        <f t="shared" si="22"/>
        <v/>
      </c>
      <c r="N35" s="139" t="str">
        <f t="shared" si="23"/>
        <v>Nov 2026 → 1 Mar 2027  (4 months)</v>
      </c>
      <c r="O35" s="140">
        <f t="shared" ref="O35:P35" si="30">F17</f>
        <v>46327</v>
      </c>
      <c r="P35" s="140">
        <f t="shared" si="30"/>
        <v>46447</v>
      </c>
    </row>
    <row r="36" ht="14.25" customHeight="1">
      <c r="B36" s="55" t="str">
        <f>B20</f>
        <v>ESG certification/traceability setup</v>
      </c>
      <c r="C36" s="127" t="str">
        <f t="shared" si="12"/>
        <v/>
      </c>
      <c r="D36" s="127" t="str">
        <f t="shared" si="13"/>
        <v>1 Feb</v>
      </c>
      <c r="E36" s="127" t="str">
        <f t="shared" si="14"/>
        <v/>
      </c>
      <c r="F36" s="127" t="str">
        <f t="shared" si="15"/>
        <v/>
      </c>
      <c r="G36" s="127" t="str">
        <f t="shared" si="16"/>
        <v/>
      </c>
      <c r="H36" s="127" t="str">
        <f t="shared" si="17"/>
        <v/>
      </c>
      <c r="I36" s="127" t="str">
        <f t="shared" si="18"/>
        <v/>
      </c>
      <c r="J36" s="127" t="str">
        <f t="shared" si="19"/>
        <v/>
      </c>
      <c r="K36" s="127" t="str">
        <f t="shared" si="20"/>
        <v/>
      </c>
      <c r="L36" s="127" t="str">
        <f t="shared" si="21"/>
        <v/>
      </c>
      <c r="M36" s="127" t="str">
        <f t="shared" si="22"/>
        <v/>
      </c>
      <c r="N36" s="139" t="str">
        <f t="shared" si="23"/>
        <v>Nov 2026 → 1 Feb 2027  (3 months)</v>
      </c>
      <c r="O36" s="140">
        <f t="shared" ref="O36:P36" si="31">F20</f>
        <v>46327</v>
      </c>
      <c r="P36" s="140">
        <f t="shared" si="31"/>
        <v>46419</v>
      </c>
    </row>
    <row r="37" ht="14.25" customHeight="1">
      <c r="B37" s="55" t="str">
        <f>B10</f>
        <v>Biomass boiler/furnace retrofit package</v>
      </c>
      <c r="C37" s="127" t="str">
        <f t="shared" si="12"/>
        <v/>
      </c>
      <c r="D37" s="127" t="str">
        <f t="shared" si="13"/>
        <v/>
      </c>
      <c r="E37" s="127" t="str">
        <f t="shared" si="14"/>
        <v>1 Apr</v>
      </c>
      <c r="F37" s="127" t="str">
        <f t="shared" si="15"/>
        <v/>
      </c>
      <c r="G37" s="127" t="str">
        <f t="shared" si="16"/>
        <v/>
      </c>
      <c r="H37" s="127" t="str">
        <f t="shared" si="17"/>
        <v/>
      </c>
      <c r="I37" s="127" t="str">
        <f t="shared" si="18"/>
        <v/>
      </c>
      <c r="J37" s="127" t="str">
        <f t="shared" si="19"/>
        <v/>
      </c>
      <c r="K37" s="127" t="str">
        <f t="shared" si="20"/>
        <v/>
      </c>
      <c r="L37" s="127" t="str">
        <f t="shared" si="21"/>
        <v/>
      </c>
      <c r="M37" s="127" t="str">
        <f t="shared" si="22"/>
        <v/>
      </c>
      <c r="N37" s="139" t="str">
        <f t="shared" si="23"/>
        <v>Jan 2027 → 1 Apr 2027  (3 months)</v>
      </c>
      <c r="O37" s="140">
        <f t="shared" ref="O37:P37" si="32">F10</f>
        <v>46388</v>
      </c>
      <c r="P37" s="140">
        <f t="shared" si="32"/>
        <v>46478</v>
      </c>
    </row>
    <row r="38" ht="14.25" customHeight="1">
      <c r="B38" s="55" t="str">
        <f t="shared" ref="B38:B39" si="34">B13</f>
        <v>Ash extraction &amp; handling system</v>
      </c>
      <c r="C38" s="127" t="str">
        <f t="shared" si="12"/>
        <v/>
      </c>
      <c r="D38" s="127" t="str">
        <f t="shared" si="13"/>
        <v/>
      </c>
      <c r="E38" s="127" t="str">
        <f t="shared" si="14"/>
        <v>1 Apr</v>
      </c>
      <c r="F38" s="127" t="str">
        <f t="shared" si="15"/>
        <v/>
      </c>
      <c r="G38" s="127" t="str">
        <f t="shared" si="16"/>
        <v/>
      </c>
      <c r="H38" s="127" t="str">
        <f t="shared" si="17"/>
        <v/>
      </c>
      <c r="I38" s="127" t="str">
        <f t="shared" si="18"/>
        <v/>
      </c>
      <c r="J38" s="127" t="str">
        <f t="shared" si="19"/>
        <v/>
      </c>
      <c r="K38" s="127" t="str">
        <f t="shared" si="20"/>
        <v/>
      </c>
      <c r="L38" s="127" t="str">
        <f t="shared" si="21"/>
        <v/>
      </c>
      <c r="M38" s="127" t="str">
        <f t="shared" si="22"/>
        <v/>
      </c>
      <c r="N38" s="139" t="str">
        <f t="shared" si="23"/>
        <v>Jan 2027 → 1 Apr 2027  (3 months)</v>
      </c>
      <c r="O38" s="140">
        <f t="shared" ref="O38:P38" si="33">F13</f>
        <v>46388</v>
      </c>
      <c r="P38" s="140">
        <f t="shared" si="33"/>
        <v>46478</v>
      </c>
    </row>
    <row r="39" ht="14.25" customHeight="1">
      <c r="B39" s="55" t="str">
        <f t="shared" si="34"/>
        <v>Multi-cyclone + bag filter upgrade</v>
      </c>
      <c r="C39" s="127" t="str">
        <f t="shared" si="12"/>
        <v/>
      </c>
      <c r="D39" s="127" t="str">
        <f t="shared" si="13"/>
        <v/>
      </c>
      <c r="E39" s="127" t="str">
        <f t="shared" si="14"/>
        <v>1 Apr</v>
      </c>
      <c r="F39" s="127" t="str">
        <f t="shared" si="15"/>
        <v/>
      </c>
      <c r="G39" s="127" t="str">
        <f t="shared" si="16"/>
        <v/>
      </c>
      <c r="H39" s="127" t="str">
        <f t="shared" si="17"/>
        <v/>
      </c>
      <c r="I39" s="127" t="str">
        <f t="shared" si="18"/>
        <v/>
      </c>
      <c r="J39" s="127" t="str">
        <f t="shared" si="19"/>
        <v/>
      </c>
      <c r="K39" s="127" t="str">
        <f t="shared" si="20"/>
        <v/>
      </c>
      <c r="L39" s="127" t="str">
        <f t="shared" si="21"/>
        <v/>
      </c>
      <c r="M39" s="127" t="str">
        <f t="shared" si="22"/>
        <v/>
      </c>
      <c r="N39" s="139" t="str">
        <f t="shared" si="23"/>
        <v>Jan 2027 → 1 Apr 2027  (3 months)</v>
      </c>
      <c r="O39" s="140">
        <f t="shared" ref="O39:P39" si="35">F14</f>
        <v>46388</v>
      </c>
      <c r="P39" s="140">
        <f t="shared" si="35"/>
        <v>46478</v>
      </c>
    </row>
    <row r="40" ht="14.25" customHeight="1">
      <c r="B40" s="73" t="s">
        <v>386</v>
      </c>
      <c r="C40" s="127" t="str">
        <f t="shared" si="12"/>
        <v/>
      </c>
      <c r="D40" s="127" t="str">
        <f t="shared" si="13"/>
        <v/>
      </c>
      <c r="E40" s="127" t="str">
        <f t="shared" si="14"/>
        <v/>
      </c>
      <c r="F40" s="127" t="str">
        <f t="shared" si="15"/>
        <v/>
      </c>
      <c r="G40" s="127" t="str">
        <f t="shared" si="16"/>
        <v/>
      </c>
      <c r="H40" s="127" t="str">
        <f t="shared" si="17"/>
        <v>1 Mar</v>
      </c>
      <c r="I40" s="127" t="str">
        <f t="shared" si="18"/>
        <v/>
      </c>
      <c r="J40" s="127" t="str">
        <f t="shared" si="19"/>
        <v/>
      </c>
      <c r="K40" s="127" t="str">
        <f t="shared" si="20"/>
        <v/>
      </c>
      <c r="L40" s="127" t="str">
        <f t="shared" si="21"/>
        <v/>
      </c>
      <c r="M40" s="127" t="str">
        <f t="shared" si="22"/>
        <v/>
      </c>
      <c r="N40" s="139" t="str">
        <f t="shared" si="23"/>
        <v>Oct 2027 → 1 Mar 2028  (5 months)</v>
      </c>
      <c r="O40" s="140">
        <f>MIN(F16)</f>
        <v>46661</v>
      </c>
      <c r="P40" s="140">
        <f>MAX(G16)</f>
        <v>46813</v>
      </c>
    </row>
    <row r="41" ht="14.25" customHeight="1">
      <c r="B41" s="55" t="str">
        <f>B16</f>
        <v>Water treatment &amp; condensate recovery upgrade</v>
      </c>
      <c r="C41" s="127" t="str">
        <f t="shared" si="12"/>
        <v/>
      </c>
      <c r="D41" s="127" t="str">
        <f t="shared" si="13"/>
        <v/>
      </c>
      <c r="E41" s="127" t="str">
        <f t="shared" si="14"/>
        <v/>
      </c>
      <c r="F41" s="127" t="str">
        <f t="shared" si="15"/>
        <v/>
      </c>
      <c r="G41" s="127" t="str">
        <f t="shared" si="16"/>
        <v/>
      </c>
      <c r="H41" s="127" t="str">
        <f t="shared" si="17"/>
        <v>1 Mar</v>
      </c>
      <c r="I41" s="127" t="str">
        <f t="shared" si="18"/>
        <v/>
      </c>
      <c r="J41" s="127" t="str">
        <f t="shared" si="19"/>
        <v/>
      </c>
      <c r="K41" s="127" t="str">
        <f t="shared" si="20"/>
        <v/>
      </c>
      <c r="L41" s="127" t="str">
        <f t="shared" si="21"/>
        <v/>
      </c>
      <c r="M41" s="127" t="str">
        <f t="shared" si="22"/>
        <v/>
      </c>
      <c r="N41" s="139" t="str">
        <f t="shared" si="23"/>
        <v>Oct 2027 → 1 Mar 2028  (5 months)</v>
      </c>
      <c r="O41" s="140">
        <f t="shared" ref="O41:P41" si="36">F16</f>
        <v>46661</v>
      </c>
      <c r="P41" s="140">
        <f t="shared" si="36"/>
        <v>46813</v>
      </c>
    </row>
    <row r="42" ht="14.25" customHeight="1">
      <c r="B42" s="104" t="s">
        <v>393</v>
      </c>
      <c r="C42" s="39"/>
      <c r="D42" s="39"/>
      <c r="E42" s="39"/>
      <c r="F42" s="39"/>
      <c r="G42" s="39"/>
      <c r="H42" s="39"/>
      <c r="I42" s="39"/>
      <c r="J42" s="39"/>
      <c r="K42" s="39"/>
      <c r="L42" s="39"/>
      <c r="M42" s="39"/>
      <c r="N42" s="39"/>
      <c r="O42" s="39"/>
      <c r="P42" s="40"/>
    </row>
    <row r="43" ht="14.25" customHeight="1">
      <c r="B43" s="55" t="s">
        <v>395</v>
      </c>
      <c r="C43" s="127" t="str">
        <f t="shared" ref="C43:C48" si="37">IF(AND($O43&gt;=DATE(2026,10,1),$O43&lt;DATE(2026,13,1)),CHOOSE(MONTH($O43),"Jan","Feb","Mar","Apr","May","Jun","Jul","Aug","Sep","Oct","Nov","Dec")&amp;IF($P43-$O43&gt;40,"–"&amp;CHOOSE(MONTH($P43),"Jan","Feb","Mar","Apr","May","Jun","Jul","Aug","Sep","Oct","Nov","Dec"),""),"")</f>
        <v/>
      </c>
      <c r="D43" s="127" t="str">
        <f t="shared" ref="D43:D48" si="38">IF(AND($O43&gt;=DATE(2027,1,1),$O43&lt;DATE(2027,4,1)),CHOOSE(MONTH($O43),"Jan","Feb","Mar","Apr","May","Jun","Jul","Aug","Sep","Oct","Nov","Dec")&amp;IF($P43-$O43&gt;40,"–"&amp;CHOOSE(MONTH($P43),"Jan","Feb","Mar","Apr","May","Jun","Jul","Aug","Sep","Oct","Nov","Dec"),""),"")</f>
        <v>Feb</v>
      </c>
      <c r="E43" s="127" t="str">
        <f t="shared" ref="E43:E48" si="39">IF(AND($O43&gt;=DATE(2027,4,1),$O43&lt;DATE(2027,7,1)),CHOOSE(MONTH($O43),"Jan","Feb","Mar","Apr","May","Jun","Jul","Aug","Sep","Oct","Nov","Dec")&amp;IF($P43-$O43&gt;40,"–"&amp;CHOOSE(MONTH($P43),"Jan","Feb","Mar","Apr","May","Jun","Jul","Aug","Sep","Oct","Nov","Dec"),""),"")</f>
        <v/>
      </c>
      <c r="F43" s="127" t="str">
        <f t="shared" ref="F43:F48" si="40">IF(AND($O43&gt;=DATE(2027,7,1),$O43&lt;DATE(2027,10,1)),CHOOSE(MONTH($O43),"Jan","Feb","Mar","Apr","May","Jun","Jul","Aug","Sep","Oct","Nov","Dec")&amp;IF($P43-$O43&gt;40,"–"&amp;CHOOSE(MONTH($P43),"Jan","Feb","Mar","Apr","May","Jun","Jul","Aug","Sep","Oct","Nov","Dec"),""),"")</f>
        <v/>
      </c>
      <c r="G43" s="127" t="str">
        <f t="shared" ref="G43:G48" si="41">IF(AND($O43&gt;=DATE(2027,10,1),$O43&lt;DATE(2027,13,1)),CHOOSE(MONTH($O43),"Jan","Feb","Mar","Apr","May","Jun","Jul","Aug","Sep","Oct","Nov","Dec")&amp;IF($P43-$O43&gt;40,"–"&amp;CHOOSE(MONTH($P43),"Jan","Feb","Mar","Apr","May","Jun","Jul","Aug","Sep","Oct","Nov","Dec"),""),"")</f>
        <v/>
      </c>
      <c r="H43" s="127" t="str">
        <f t="shared" ref="H43:H48" si="42">IF(AND($O43&gt;=DATE(2028,1,1),$O43&lt;DATE(2028,4,1)),CHOOSE(MONTH($O43),"Jan","Feb","Mar","Apr","May","Jun","Jul","Aug","Sep","Oct","Nov","Dec")&amp;IF($P43-$O43&gt;40,"–"&amp;CHOOSE(MONTH($P43),"Jan","Feb","Mar","Apr","May","Jun","Jul","Aug","Sep","Oct","Nov","Dec"),""),"")</f>
        <v/>
      </c>
      <c r="I43" s="127" t="str">
        <f t="shared" ref="I43:I48" si="43">IF(AND($O43&gt;=DATE(2028,4,1),$O43&lt;DATE(2028,7,1)),CHOOSE(MONTH($O43),"Jan","Feb","Mar","Apr","May","Jun","Jul","Aug","Sep","Oct","Nov","Dec")&amp;IF($P43-$O43&gt;40,"–"&amp;CHOOSE(MONTH($P43),"Jan","Feb","Mar","Apr","May","Jun","Jul","Aug","Sep","Oct","Nov","Dec"),""),"")</f>
        <v/>
      </c>
      <c r="J43" s="127" t="str">
        <f t="shared" ref="J43:J48" si="44">IF(AND($O43&gt;=DATE(2028,7,1),$O43&lt;DATE(2028,10,1)),CHOOSE(MONTH($O43),"Jan","Feb","Mar","Apr","May","Jun","Jul","Aug","Sep","Oct","Nov","Dec")&amp;IF($P43-$O43&gt;40,"–"&amp;CHOOSE(MONTH($P43),"Jan","Feb","Mar","Apr","May","Jun","Jul","Aug","Sep","Oct","Nov","Dec"),""),"")</f>
        <v/>
      </c>
      <c r="K43" s="127" t="str">
        <f t="shared" ref="K43:K48" si="45">IF(AND($O43&gt;=DATE(2028,10,1),$O43&lt;DATE(2028,13,1)),CHOOSE(MONTH($O43),"Jan","Feb","Mar","Apr","May","Jun","Jul","Aug","Sep","Oct","Nov","Dec")&amp;IF($P43-$O43&gt;40,"–"&amp;CHOOSE(MONTH($P43),"Jan","Feb","Mar","Apr","May","Jun","Jul","Aug","Sep","Oct","Nov","Dec"),""),"")</f>
        <v/>
      </c>
      <c r="L43" s="127" t="str">
        <f t="shared" ref="L43:L48" si="46">IF(AND($O43&gt;=DATE(2029,1,1),$O43&lt;DATE(2029,4,1)),CHOOSE(MONTH($O43),"Jan","Feb","Mar","Apr","May","Jun","Jul","Aug","Sep","Oct","Nov","Dec")&amp;IF($P43-$O43&gt;40,"–"&amp;CHOOSE(MONTH($P43),"Jan","Feb","Mar","Apr","May","Jun","Jul","Aug","Sep","Oct","Nov","Dec"),""),"")</f>
        <v/>
      </c>
      <c r="M43" s="127" t="str">
        <f t="shared" ref="M43:M48" si="47">IF(AND($O43&gt;=DATE(2029,4,1),$O43&lt;DATE(2029,7,1)),CHOOSE(MONTH($O43),"Jan","Feb","Mar","Apr","May","Jun","Jul","Aug","Sep","Oct","Nov","Dec")&amp;IF($P43-$O43&gt;40,"–"&amp;CHOOSE(MONTH($P43),"Jan","Feb","Mar","Apr","May","Jun","Jul","Aug","Sep","Oct","Nov","Dec"),""),"")</f>
        <v/>
      </c>
      <c r="N43" s="139" t="str">
        <f>CHOOSE(MONTH(O43),"Jan","Feb","Mar","Apr","May","Jun","Jul","Aug","Sep","Oct","Nov","Dec")&amp;" "&amp;YEAR(O43)&amp;IF(OR(MONTH(P43)&lt;&gt;MONTH(O43),YEAR(P43)&lt;&gt;YEAR(O43))," to "&amp;CHOOSE(MONTH(P43),"Jan","Feb","Mar","Apr","May","Jun","Jul","Aug","Sep","Oct","Nov","Dec")&amp;" "&amp;YEAR(P43),"")&amp;"  (Logistics Cost 2027, Feb-27)"</f>
        <v>Feb 2027  (Logistics Cost 2027, Feb-27)</v>
      </c>
      <c r="O43" s="115">
        <v>46419.0</v>
      </c>
      <c r="P43" s="115">
        <v>46419.0</v>
      </c>
    </row>
    <row r="44" ht="14.25" customHeight="1">
      <c r="B44" s="55" t="s">
        <v>427</v>
      </c>
      <c r="C44" s="127" t="str">
        <f t="shared" si="37"/>
        <v/>
      </c>
      <c r="D44" s="127" t="str">
        <f t="shared" si="38"/>
        <v/>
      </c>
      <c r="E44" s="127" t="str">
        <f t="shared" si="39"/>
        <v>Apr</v>
      </c>
      <c r="F44" s="127" t="str">
        <f t="shared" si="40"/>
        <v/>
      </c>
      <c r="G44" s="127" t="str">
        <f t="shared" si="41"/>
        <v/>
      </c>
      <c r="H44" s="127" t="str">
        <f t="shared" si="42"/>
        <v/>
      </c>
      <c r="I44" s="127" t="str">
        <f t="shared" si="43"/>
        <v/>
      </c>
      <c r="J44" s="127" t="str">
        <f t="shared" si="44"/>
        <v/>
      </c>
      <c r="K44" s="127" t="str">
        <f t="shared" si="45"/>
        <v/>
      </c>
      <c r="L44" s="127" t="str">
        <f t="shared" si="46"/>
        <v/>
      </c>
      <c r="M44" s="127" t="str">
        <f t="shared" si="47"/>
        <v/>
      </c>
      <c r="N44" s="139" t="str">
        <f>CHOOSE(MONTH(O44),"Jan","Feb","Mar","Apr","May","Jun","Jul","Aug","Sep","Oct","Nov","Dec")&amp;" "&amp;YEAR(O44)&amp;IF(OR(MONTH(P44)&lt;&gt;MONTH(O44),YEAR(P44)&lt;&gt;YEAR(O44))," to "&amp;CHOOSE(MONTH(P44),"Jan","Feb","Mar","Apr","May","Jun","Jul","Aug","Sep","Oct","Nov","Dec")&amp;" "&amp;YEAR(P44),"")&amp;"  (Tranche 1 gate, input below)"</f>
        <v>Apr 2027  (Tranche 1 gate, input below)</v>
      </c>
      <c r="O44" s="140">
        <f t="shared" ref="O44:P44" si="48">$C$117</f>
        <v>46478</v>
      </c>
      <c r="P44" s="140">
        <f t="shared" si="48"/>
        <v>46478</v>
      </c>
    </row>
    <row r="45" ht="14.25" customHeight="1">
      <c r="B45" s="55" t="s">
        <v>465</v>
      </c>
      <c r="C45" s="127" t="str">
        <f t="shared" si="37"/>
        <v/>
      </c>
      <c r="D45" s="127" t="str">
        <f t="shared" si="38"/>
        <v/>
      </c>
      <c r="E45" s="127" t="str">
        <f t="shared" si="39"/>
        <v>Apr–May</v>
      </c>
      <c r="F45" s="127" t="str">
        <f t="shared" si="40"/>
        <v/>
      </c>
      <c r="G45" s="127" t="str">
        <f t="shared" si="41"/>
        <v/>
      </c>
      <c r="H45" s="127" t="str">
        <f t="shared" si="42"/>
        <v/>
      </c>
      <c r="I45" s="127" t="str">
        <f t="shared" si="43"/>
        <v/>
      </c>
      <c r="J45" s="127" t="str">
        <f t="shared" si="44"/>
        <v/>
      </c>
      <c r="K45" s="127" t="str">
        <f t="shared" si="45"/>
        <v/>
      </c>
      <c r="L45" s="127" t="str">
        <f t="shared" si="46"/>
        <v/>
      </c>
      <c r="M45" s="127" t="str">
        <f t="shared" si="47"/>
        <v/>
      </c>
      <c r="N45" s="139" t="str">
        <f>CHOOSE(MONTH(O45),"Jan","Feb","Mar","Apr","May","Jun","Jul","Aug","Sep","Oct","Nov","Dec")&amp;" "&amp;YEAR(O45)&amp;IF(OR(MONTH(P45)&lt;&gt;MONTH(O45),YEAR(P45)&lt;&gt;YEAR(O45))," to "&amp;CHOOSE(MONTH(P45),"Jan","Feb","Mar","Apr","May","Jun","Jul","Aug","Sep","Oct","Nov","Dec")&amp;" "&amp;YEAR(P45),"")&amp;"  (R14; cap still met)"</f>
        <v>Apr 2027 to May 2027  (R14; cap still met)</v>
      </c>
      <c r="O45" s="140">
        <f>$C$117</f>
        <v>46478</v>
      </c>
      <c r="P45" s="140">
        <f>$C$117+7*$C$118</f>
        <v>46534</v>
      </c>
    </row>
    <row r="46" ht="14.25" customHeight="1">
      <c r="B46" s="55" t="s">
        <v>473</v>
      </c>
      <c r="C46" s="127" t="str">
        <f t="shared" si="37"/>
        <v/>
      </c>
      <c r="D46" s="127" t="str">
        <f t="shared" si="38"/>
        <v/>
      </c>
      <c r="E46" s="127" t="str">
        <f t="shared" si="39"/>
        <v/>
      </c>
      <c r="F46" s="127" t="str">
        <f t="shared" si="40"/>
        <v/>
      </c>
      <c r="G46" s="127" t="str">
        <f t="shared" si="41"/>
        <v/>
      </c>
      <c r="H46" s="127" t="str">
        <f t="shared" si="42"/>
        <v>Jan–Mar</v>
      </c>
      <c r="I46" s="127" t="str">
        <f t="shared" si="43"/>
        <v/>
      </c>
      <c r="J46" s="127" t="str">
        <f t="shared" si="44"/>
        <v/>
      </c>
      <c r="K46" s="127" t="str">
        <f t="shared" si="45"/>
        <v/>
      </c>
      <c r="L46" s="127" t="str">
        <f t="shared" si="46"/>
        <v/>
      </c>
      <c r="M46" s="127" t="str">
        <f t="shared" si="47"/>
        <v/>
      </c>
      <c r="N46" s="139" t="str">
        <f>CHOOSE(MONTH(O46),"Jan","Feb","Mar","Apr","May","Jun","Jul","Aug","Sep","Oct","Nov","Dec")&amp;" "&amp;YEAR(O46)&amp;IF(OR(MONTH(P46)&lt;&gt;MONTH(O46),YEAR(P46)&lt;&gt;YEAR(O46))," to "&amp;CHOOSE(MONTH(P46),"Jan","Feb","Mar","Apr","May","Jun","Jul","Aug","Sep","Oct","Nov","Dec")&amp;" "&amp;YEAR(P46),"")&amp;"  (Emission Target B18–B19)"</f>
        <v>Jan 2028 to Mar 2028  (Emission Target B18–B19)</v>
      </c>
      <c r="O46" s="115">
        <v>46753.0</v>
      </c>
      <c r="P46" s="115">
        <v>46813.0</v>
      </c>
    </row>
    <row r="47" ht="14.25" customHeight="1">
      <c r="B47" s="55" t="s">
        <v>488</v>
      </c>
      <c r="C47" s="127" t="str">
        <f t="shared" si="37"/>
        <v/>
      </c>
      <c r="D47" s="127" t="str">
        <f t="shared" si="38"/>
        <v/>
      </c>
      <c r="E47" s="127" t="str">
        <f t="shared" si="39"/>
        <v/>
      </c>
      <c r="F47" s="127" t="str">
        <f t="shared" si="40"/>
        <v/>
      </c>
      <c r="G47" s="127" t="str">
        <f t="shared" si="41"/>
        <v/>
      </c>
      <c r="H47" s="127" t="str">
        <f t="shared" si="42"/>
        <v>Feb</v>
      </c>
      <c r="I47" s="127" t="str">
        <f t="shared" si="43"/>
        <v/>
      </c>
      <c r="J47" s="127" t="str">
        <f t="shared" si="44"/>
        <v/>
      </c>
      <c r="K47" s="127" t="str">
        <f t="shared" si="45"/>
        <v/>
      </c>
      <c r="L47" s="127" t="str">
        <f t="shared" si="46"/>
        <v/>
      </c>
      <c r="M47" s="127" t="str">
        <f t="shared" si="47"/>
        <v/>
      </c>
      <c r="N47" s="139" t="str">
        <f>CHOOSE(MONTH(O47),"Jan","Feb","Mar","Apr","May","Jun","Jul","Aug","Sep","Oct","Nov","Dec")&amp;" "&amp;YEAR(O47)&amp;IF(OR(MONTH(P47)&lt;&gt;MONTH(O47),YEAR(P47)&lt;&gt;YEAR(O47))," to "&amp;CHOOSE(MONTH(P47),"Jan","Feb","Mar","Apr","May","Jun","Jul","Aug","Sep","Oct","Nov","Dec")&amp;" "&amp;YEAR(P47),"")&amp;"  (Tranche 2 gate)"</f>
        <v>Feb 2028  (Tranche 2 gate)</v>
      </c>
      <c r="O47" s="115">
        <v>46784.0</v>
      </c>
      <c r="P47" s="115">
        <v>46784.0</v>
      </c>
    </row>
    <row r="48" ht="14.25" customHeight="1">
      <c r="B48" s="55" t="s">
        <v>489</v>
      </c>
      <c r="C48" s="127" t="str">
        <f t="shared" si="37"/>
        <v/>
      </c>
      <c r="D48" s="127" t="str">
        <f t="shared" si="38"/>
        <v/>
      </c>
      <c r="E48" s="127" t="str">
        <f t="shared" si="39"/>
        <v/>
      </c>
      <c r="F48" s="127" t="str">
        <f t="shared" si="40"/>
        <v/>
      </c>
      <c r="G48" s="127" t="str">
        <f t="shared" si="41"/>
        <v/>
      </c>
      <c r="H48" s="127" t="str">
        <f t="shared" si="42"/>
        <v/>
      </c>
      <c r="I48" s="127" t="str">
        <f t="shared" si="43"/>
        <v/>
      </c>
      <c r="J48" s="127" t="str">
        <f t="shared" si="44"/>
        <v/>
      </c>
      <c r="K48" s="127" t="str">
        <f t="shared" si="45"/>
        <v/>
      </c>
      <c r="L48" s="127" t="str">
        <f t="shared" si="46"/>
        <v>Jan–Mar</v>
      </c>
      <c r="M48" s="127" t="str">
        <f t="shared" si="47"/>
        <v/>
      </c>
      <c r="N48" s="139" t="str">
        <f>CHOOSE(MONTH(O48),"Jan","Feb","Mar","Apr","May","Jun","Jul","Aug","Sep","Oct","Nov","Dec")&amp;" "&amp;YEAR(O48)&amp;IF(OR(MONTH(P48)&lt;&gt;MONTH(O48),YEAR(P48)&lt;&gt;YEAR(O48))," to "&amp;CHOOSE(MONTH(P48),"Jan","Feb","Mar","Apr","May","Jun","Jul","Aug","Sep","Oct","Nov","Dec")&amp;" "&amp;YEAR(P48),"")&amp;"  (Emission Target B18–B19)"</f>
        <v>Jan 2029 to Mar 2029  (Emission Target B18–B19)</v>
      </c>
      <c r="O48" s="115">
        <v>47119.0</v>
      </c>
      <c r="P48" s="115">
        <v>47178.0</v>
      </c>
    </row>
    <row r="49" ht="30.0" customHeight="1">
      <c r="B49" s="151" t="s">
        <v>492</v>
      </c>
      <c r="C49" s="152"/>
      <c r="D49" s="151" t="s">
        <v>493</v>
      </c>
      <c r="F49" s="153"/>
      <c r="G49" s="151" t="s">
        <v>494</v>
      </c>
      <c r="I49" s="154"/>
      <c r="J49" s="151" t="s">
        <v>495</v>
      </c>
      <c r="L49" s="155"/>
      <c r="M49" s="151" t="s">
        <v>496</v>
      </c>
      <c r="O49" s="53"/>
      <c r="P49" s="53"/>
    </row>
    <row r="50" ht="14.25" customHeight="1"/>
    <row r="51" ht="21.75" customHeight="1">
      <c r="B51" s="50" t="s">
        <v>498</v>
      </c>
      <c r="C51" s="39"/>
      <c r="D51" s="39"/>
      <c r="E51" s="39"/>
      <c r="F51" s="39"/>
      <c r="G51" s="39"/>
      <c r="H51" s="39"/>
      <c r="I51" s="39"/>
      <c r="J51" s="39"/>
      <c r="K51" s="39"/>
      <c r="L51" s="39"/>
      <c r="M51" s="39"/>
      <c r="N51" s="40"/>
    </row>
    <row r="52" ht="21.75" customHeight="1">
      <c r="B52" s="51" t="s">
        <v>0</v>
      </c>
      <c r="C52" s="51" t="s">
        <v>164</v>
      </c>
      <c r="D52" s="51" t="s">
        <v>165</v>
      </c>
      <c r="E52" s="51" t="s">
        <v>166</v>
      </c>
      <c r="F52" s="51" t="s">
        <v>167</v>
      </c>
      <c r="G52" s="51" t="s">
        <v>168</v>
      </c>
      <c r="H52" s="51" t="s">
        <v>169</v>
      </c>
      <c r="I52" s="53"/>
      <c r="J52" s="53"/>
      <c r="K52" s="53"/>
      <c r="L52" s="53"/>
      <c r="M52" s="53"/>
      <c r="N52" s="53"/>
    </row>
    <row r="53" ht="14.25" customHeight="1">
      <c r="B53" s="104" t="s">
        <v>500</v>
      </c>
      <c r="C53" s="39"/>
      <c r="D53" s="39"/>
      <c r="E53" s="39"/>
      <c r="F53" s="39"/>
      <c r="G53" s="39"/>
      <c r="H53" s="40"/>
    </row>
    <row r="54" ht="18.0" customHeight="1">
      <c r="B54" s="55" t="s">
        <v>222</v>
      </c>
      <c r="C54" s="56">
        <f>'Sales Forecast &amp; Case 2A KPI'!C21</f>
        <v>5020000</v>
      </c>
      <c r="D54" s="56">
        <f>'Task 2_Conversion &amp; Forecast'!D19</f>
        <v>5622400</v>
      </c>
      <c r="E54" s="56">
        <f>'Task 2_Conversion &amp; Forecast'!E19</f>
        <v>6920572</v>
      </c>
      <c r="F54" s="56">
        <f>'Task 2_Conversion &amp; Forecast'!F19</f>
        <v>8650715</v>
      </c>
      <c r="G54" s="56">
        <f>'Task 2_Conversion &amp; Forecast'!G19</f>
        <v>7656804.013</v>
      </c>
      <c r="H54" s="56">
        <f>'Task 2_Conversion &amp; Forecast'!H19</f>
        <v>6125443.21</v>
      </c>
    </row>
    <row r="55" ht="18.0" customHeight="1">
      <c r="B55" s="55" t="s">
        <v>370</v>
      </c>
      <c r="C55" s="80">
        <f t="shared" ref="C55:H55" si="49">C54*$C$111</f>
        <v>300000</v>
      </c>
      <c r="D55" s="80">
        <f t="shared" si="49"/>
        <v>336000</v>
      </c>
      <c r="E55" s="80">
        <f t="shared" si="49"/>
        <v>413580</v>
      </c>
      <c r="F55" s="80">
        <f t="shared" si="49"/>
        <v>516975</v>
      </c>
      <c r="G55" s="80">
        <f t="shared" si="49"/>
        <v>457577.9291</v>
      </c>
      <c r="H55" s="80">
        <f t="shared" si="49"/>
        <v>366062.3432</v>
      </c>
    </row>
    <row r="56" ht="18.0" customHeight="1">
      <c r="B56" s="55" t="s">
        <v>505</v>
      </c>
      <c r="C56" s="144">
        <f t="shared" ref="C56:H56" si="50">C55/$C$109</f>
        <v>1</v>
      </c>
      <c r="D56" s="144">
        <f t="shared" si="50"/>
        <v>1.12</v>
      </c>
      <c r="E56" s="144">
        <f t="shared" si="50"/>
        <v>1.3786</v>
      </c>
      <c r="F56" s="144">
        <f t="shared" si="50"/>
        <v>1.72325</v>
      </c>
      <c r="G56" s="144">
        <f t="shared" si="50"/>
        <v>1.525259764</v>
      </c>
      <c r="H56" s="144">
        <f t="shared" si="50"/>
        <v>1.220207811</v>
      </c>
    </row>
    <row r="57" ht="14.25" customHeight="1">
      <c r="B57" s="104" t="s">
        <v>546</v>
      </c>
      <c r="C57" s="39"/>
      <c r="D57" s="39"/>
      <c r="E57" s="39"/>
      <c r="F57" s="39"/>
      <c r="G57" s="39"/>
      <c r="H57" s="40"/>
    </row>
    <row r="58" ht="18.0" customHeight="1">
      <c r="B58" s="55" t="s">
        <v>549</v>
      </c>
      <c r="C58" s="56">
        <f>'Emission Target'!D6</f>
        <v>28380</v>
      </c>
      <c r="D58" s="56">
        <f>'Emission Target'!D7</f>
        <v>24123</v>
      </c>
      <c r="E58" s="56">
        <f>'Emission Target'!D8</f>
        <v>19866</v>
      </c>
      <c r="F58" s="56">
        <f>'Emission Target'!D9</f>
        <v>15609</v>
      </c>
      <c r="G58" s="56">
        <f>'Emission Target'!D10</f>
        <v>12771</v>
      </c>
      <c r="H58" s="56">
        <f>'Emission Target'!D11</f>
        <v>10216.8</v>
      </c>
    </row>
    <row r="59" ht="18.0" customHeight="1">
      <c r="B59" s="55" t="s">
        <v>553</v>
      </c>
      <c r="C59" s="72">
        <f>'Emission Target'!E6</f>
        <v>94.6</v>
      </c>
      <c r="D59" s="72">
        <f>'Emission Target'!E7</f>
        <v>80.41</v>
      </c>
      <c r="E59" s="72">
        <f>'Emission Target'!E8</f>
        <v>66.22</v>
      </c>
      <c r="F59" s="72">
        <f>'Emission Target'!E9</f>
        <v>52.03</v>
      </c>
      <c r="G59" s="72">
        <f>'Emission Target'!E10</f>
        <v>42.57</v>
      </c>
      <c r="H59" s="72">
        <f>'Emission Target'!E11</f>
        <v>34.056</v>
      </c>
    </row>
    <row r="60" ht="14.25" customHeight="1">
      <c r="B60" s="104" t="s">
        <v>560</v>
      </c>
      <c r="C60" s="39"/>
      <c r="D60" s="39"/>
      <c r="E60" s="39"/>
      <c r="F60" s="39"/>
      <c r="G60" s="39"/>
      <c r="H60" s="40"/>
    </row>
    <row r="61" ht="18.0" customHeight="1">
      <c r="B61" s="55" t="s">
        <v>172</v>
      </c>
      <c r="C61" s="70">
        <v>0.0</v>
      </c>
      <c r="D61" s="70">
        <f>MAX(0,MIN(1,(DATE(2028,1,1)-$C$117)/365))</f>
        <v>0.7534246575</v>
      </c>
      <c r="E61" s="70">
        <v>1.0</v>
      </c>
      <c r="F61" s="70">
        <v>1.0</v>
      </c>
      <c r="G61" s="70">
        <v>1.0</v>
      </c>
      <c r="H61" s="70">
        <v>1.0</v>
      </c>
    </row>
    <row r="62" ht="18.0" customHeight="1">
      <c r="B62" s="55" t="s">
        <v>567</v>
      </c>
      <c r="C62" s="70"/>
      <c r="D62" s="70">
        <f>MAX(0,MIN(1,(DATE(2028,1,1)-($C$117+7*$C$118))/365))</f>
        <v>0.6</v>
      </c>
      <c r="E62" s="70"/>
      <c r="F62" s="70"/>
      <c r="G62" s="70"/>
      <c r="H62" s="70"/>
    </row>
    <row r="63" ht="33.0" customHeight="1">
      <c r="B63" s="55" t="s">
        <v>568</v>
      </c>
      <c r="C63" s="70"/>
      <c r="D63" s="70">
        <f t="shared" ref="D63:H63" si="51">MAX(0,($C$112-(1-$C$119)*MIN(D58*1000/D55,D59))/($C$112-$C$116))</f>
        <v>0.3087144946</v>
      </c>
      <c r="E63" s="70">
        <f t="shared" si="51"/>
        <v>0.5727189971</v>
      </c>
      <c r="F63" s="70">
        <f t="shared" si="51"/>
        <v>0.7709555333</v>
      </c>
      <c r="G63" s="70">
        <f t="shared" si="51"/>
        <v>0.7963216374</v>
      </c>
      <c r="H63" s="70">
        <f t="shared" si="51"/>
        <v>0.7963216374</v>
      </c>
    </row>
    <row r="64" ht="33.0" customHeight="1">
      <c r="B64" s="73" t="s">
        <v>569</v>
      </c>
      <c r="C64" s="159">
        <v>0.0</v>
      </c>
      <c r="D64" s="159">
        <f>MIN(1,CEILING(ROUND(MAX(D63/D61,MAX(0,($C$112-D58*1000/D55)/($C$112-$C$116))/D62),6),$C$120))</f>
        <v>0.45</v>
      </c>
      <c r="E64" s="159">
        <f t="shared" ref="E64:H64" si="52">MIN(1,CEILING(ROUND(E63/E61,6),$C$120))</f>
        <v>0.6</v>
      </c>
      <c r="F64" s="159">
        <f t="shared" si="52"/>
        <v>0.8</v>
      </c>
      <c r="G64" s="159">
        <f t="shared" si="52"/>
        <v>0.8</v>
      </c>
      <c r="H64" s="159">
        <f t="shared" si="52"/>
        <v>0.8</v>
      </c>
    </row>
    <row r="65" ht="18.0" customHeight="1">
      <c r="B65" s="55" t="s">
        <v>177</v>
      </c>
      <c r="C65" s="70">
        <f t="shared" ref="C65:H65" si="53">C64*C61</f>
        <v>0</v>
      </c>
      <c r="D65" s="70">
        <f t="shared" si="53"/>
        <v>0.3390410959</v>
      </c>
      <c r="E65" s="70">
        <f t="shared" si="53"/>
        <v>0.6</v>
      </c>
      <c r="F65" s="70">
        <f t="shared" si="53"/>
        <v>0.8</v>
      </c>
      <c r="G65" s="70">
        <f t="shared" si="53"/>
        <v>0.8</v>
      </c>
      <c r="H65" s="70">
        <f t="shared" si="53"/>
        <v>0.8</v>
      </c>
    </row>
    <row r="66" ht="14.25" customHeight="1">
      <c r="B66" s="104" t="s">
        <v>584</v>
      </c>
      <c r="C66" s="39"/>
      <c r="D66" s="39"/>
      <c r="E66" s="39"/>
      <c r="F66" s="39"/>
      <c r="G66" s="39"/>
      <c r="H66" s="40"/>
    </row>
    <row r="67" ht="18.0" customHeight="1">
      <c r="B67" s="55" t="s">
        <v>585</v>
      </c>
      <c r="C67" s="80">
        <f t="shared" ref="C67:H67" si="54">C55*C65</f>
        <v>0</v>
      </c>
      <c r="D67" s="80">
        <f t="shared" si="54"/>
        <v>113917.8082</v>
      </c>
      <c r="E67" s="80">
        <f t="shared" si="54"/>
        <v>248148</v>
      </c>
      <c r="F67" s="80">
        <f t="shared" si="54"/>
        <v>413580</v>
      </c>
      <c r="G67" s="80">
        <f t="shared" si="54"/>
        <v>366062.3432</v>
      </c>
      <c r="H67" s="80">
        <f t="shared" si="54"/>
        <v>292849.8746</v>
      </c>
    </row>
    <row r="68" ht="18.0" customHeight="1">
      <c r="B68" s="55" t="s">
        <v>589</v>
      </c>
      <c r="C68" s="80">
        <f t="shared" ref="C68:H68" si="55">C55-C67</f>
        <v>300000</v>
      </c>
      <c r="D68" s="80">
        <f t="shared" si="55"/>
        <v>222082.1918</v>
      </c>
      <c r="E68" s="80">
        <f t="shared" si="55"/>
        <v>165432</v>
      </c>
      <c r="F68" s="80">
        <f t="shared" si="55"/>
        <v>103395</v>
      </c>
      <c r="G68" s="80">
        <f t="shared" si="55"/>
        <v>91515.58581</v>
      </c>
      <c r="H68" s="80">
        <f t="shared" si="55"/>
        <v>73212.46865</v>
      </c>
    </row>
    <row r="69" ht="18.0" customHeight="1">
      <c r="B69" s="55" t="s">
        <v>379</v>
      </c>
      <c r="C69" s="80">
        <f>C68/'ESG_CAPEX OPEX'!$B$7</f>
        <v>12000</v>
      </c>
      <c r="D69" s="80">
        <f>D68/'ESG_CAPEX OPEX'!$B$7</f>
        <v>8883.287671</v>
      </c>
      <c r="E69" s="80">
        <f>E68/'ESG_CAPEX OPEX'!$B$7</f>
        <v>6617.28</v>
      </c>
      <c r="F69" s="80">
        <f>F68/'ESG_CAPEX OPEX'!$B$7</f>
        <v>4135.8</v>
      </c>
      <c r="G69" s="80">
        <f>G68/'ESG_CAPEX OPEX'!$B$7</f>
        <v>3660.623432</v>
      </c>
      <c r="H69" s="80">
        <f>H68/'ESG_CAPEX OPEX'!$B$7</f>
        <v>2928.498746</v>
      </c>
    </row>
    <row r="70" ht="18.0" customHeight="1">
      <c r="B70" s="55" t="s">
        <v>382</v>
      </c>
      <c r="C70" s="80">
        <f>C67*'ESG_CAPEX OPEX'!$B$10/'ESG_CAPEX OPEX'!$B$8</f>
        <v>0</v>
      </c>
      <c r="D70" s="80">
        <f>D67*'ESG_CAPEX OPEX'!$B$10/'ESG_CAPEX OPEX'!$B$8</f>
        <v>4983.90411</v>
      </c>
      <c r="E70" s="80">
        <f>E67*'ESG_CAPEX OPEX'!$B$10/'ESG_CAPEX OPEX'!$B$8</f>
        <v>10856.475</v>
      </c>
      <c r="F70" s="80">
        <f>F67*'ESG_CAPEX OPEX'!$B$10/'ESG_CAPEX OPEX'!$B$8</f>
        <v>18094.125</v>
      </c>
      <c r="G70" s="80">
        <f>G67*'ESG_CAPEX OPEX'!$B$10/'ESG_CAPEX OPEX'!$B$8</f>
        <v>16015.22752</v>
      </c>
      <c r="H70" s="80">
        <f>H67*'ESG_CAPEX OPEX'!$B$10/'ESG_CAPEX OPEX'!$B$8</f>
        <v>12812.18201</v>
      </c>
    </row>
    <row r="71" ht="18.0" customHeight="1">
      <c r="B71" s="55" t="s">
        <v>383</v>
      </c>
      <c r="C71" s="80">
        <f>C67*'ESG_CAPEX OPEX'!$B$11/'ESG_CAPEX OPEX'!$B$9</f>
        <v>0</v>
      </c>
      <c r="D71" s="80">
        <f>D67*'ESG_CAPEX OPEX'!$B$11/'ESG_CAPEX OPEX'!$B$9</f>
        <v>1898.630137</v>
      </c>
      <c r="E71" s="80">
        <f>E67*'ESG_CAPEX OPEX'!$B$11/'ESG_CAPEX OPEX'!$B$9</f>
        <v>4135.8</v>
      </c>
      <c r="F71" s="80">
        <f>F67*'ESG_CAPEX OPEX'!$B$11/'ESG_CAPEX OPEX'!$B$9</f>
        <v>6893</v>
      </c>
      <c r="G71" s="80">
        <f>G67*'ESG_CAPEX OPEX'!$B$11/'ESG_CAPEX OPEX'!$B$9</f>
        <v>6101.039054</v>
      </c>
      <c r="H71" s="80">
        <f>H67*'ESG_CAPEX OPEX'!$B$11/'ESG_CAPEX OPEX'!$B$9</f>
        <v>4880.831243</v>
      </c>
    </row>
    <row r="72" ht="14.25" customHeight="1">
      <c r="B72" s="104" t="s">
        <v>624</v>
      </c>
      <c r="C72" s="39"/>
      <c r="D72" s="39"/>
      <c r="E72" s="39"/>
      <c r="F72" s="39"/>
      <c r="G72" s="39"/>
      <c r="H72" s="40"/>
    </row>
    <row r="73" ht="18.0" customHeight="1">
      <c r="B73" s="78" t="s">
        <v>625</v>
      </c>
      <c r="C73" s="79">
        <f t="shared" ref="C73:H73" si="56">(C68*$C$112+C67*$C$116)/1000</f>
        <v>28380</v>
      </c>
      <c r="D73" s="79">
        <f t="shared" si="56"/>
        <v>22045.6274</v>
      </c>
      <c r="E73" s="79">
        <f t="shared" si="56"/>
        <v>17908.014</v>
      </c>
      <c r="F73" s="79">
        <f t="shared" si="56"/>
        <v>13544.745</v>
      </c>
      <c r="G73" s="79">
        <f t="shared" si="56"/>
        <v>11988.54174</v>
      </c>
      <c r="H73" s="79">
        <f t="shared" si="56"/>
        <v>9590.833393</v>
      </c>
    </row>
    <row r="74" ht="18.0" customHeight="1">
      <c r="B74" s="55" t="s">
        <v>626</v>
      </c>
      <c r="C74" s="68">
        <f t="shared" ref="C74:H74" si="57">C73*1000/C55</f>
        <v>94.6</v>
      </c>
      <c r="D74" s="68">
        <f t="shared" si="57"/>
        <v>65.6119863</v>
      </c>
      <c r="E74" s="68">
        <f t="shared" si="57"/>
        <v>43.3</v>
      </c>
      <c r="F74" s="68">
        <f t="shared" si="57"/>
        <v>26.2</v>
      </c>
      <c r="G74" s="68">
        <f t="shared" si="57"/>
        <v>26.2</v>
      </c>
      <c r="H74" s="68">
        <f t="shared" si="57"/>
        <v>26.2</v>
      </c>
    </row>
    <row r="75" ht="18.0" customHeight="1">
      <c r="B75" s="55" t="s">
        <v>627</v>
      </c>
      <c r="C75" s="70">
        <f t="shared" ref="C75:H75" si="58">1-C73/C58</f>
        <v>0</v>
      </c>
      <c r="D75" s="70">
        <f t="shared" si="58"/>
        <v>0.08611584806</v>
      </c>
      <c r="E75" s="70">
        <f t="shared" si="58"/>
        <v>0.09855964965</v>
      </c>
      <c r="F75" s="70">
        <f t="shared" si="58"/>
        <v>0.1322477417</v>
      </c>
      <c r="G75" s="70">
        <f t="shared" si="58"/>
        <v>0.06126836259</v>
      </c>
      <c r="H75" s="70">
        <f t="shared" si="58"/>
        <v>0.06126836259</v>
      </c>
    </row>
    <row r="76" ht="18.0" customHeight="1">
      <c r="B76" s="55" t="s">
        <v>628</v>
      </c>
      <c r="C76" s="68">
        <f>C73/C$73*100</f>
        <v>100</v>
      </c>
      <c r="D76" s="68">
        <f>D73/C$73*100</f>
        <v>77.68015291</v>
      </c>
      <c r="E76" s="68">
        <f>E73/C$73*100</f>
        <v>63.10082452</v>
      </c>
      <c r="F76" s="68">
        <f>F73/C$73*100</f>
        <v>47.72637421</v>
      </c>
      <c r="G76" s="68">
        <f>G73/C$73*100</f>
        <v>42.24292368</v>
      </c>
      <c r="H76" s="68">
        <f>H73/C$73*100</f>
        <v>33.79433895</v>
      </c>
    </row>
    <row r="77" ht="18.0" customHeight="1">
      <c r="B77" s="55" t="s">
        <v>629</v>
      </c>
      <c r="C77" s="70">
        <f>1-C73/C$73</f>
        <v>0</v>
      </c>
      <c r="D77" s="70">
        <f>1-D73/C$73</f>
        <v>0.2231984709</v>
      </c>
      <c r="E77" s="70">
        <f>1-E73/C$73</f>
        <v>0.3689917548</v>
      </c>
      <c r="F77" s="70">
        <f>1-F73/C$73</f>
        <v>0.5227362579</v>
      </c>
      <c r="G77" s="70">
        <f>1-G73/C$73</f>
        <v>0.5775707632</v>
      </c>
      <c r="H77" s="70">
        <f>1-H73/C$73</f>
        <v>0.6620566105</v>
      </c>
    </row>
    <row r="78" ht="18.0" customHeight="1">
      <c r="B78" s="73" t="s">
        <v>639</v>
      </c>
      <c r="C78" s="57" t="s">
        <v>262</v>
      </c>
      <c r="D78" s="77" t="str">
        <f t="shared" ref="D78:H78" si="59">IF(AND(D73&lt;=D58+0.5,D74&lt;=D59+0.05),"Compliant","NOT compliant")</f>
        <v>Compliant</v>
      </c>
      <c r="E78" s="77" t="str">
        <f t="shared" si="59"/>
        <v>Compliant</v>
      </c>
      <c r="F78" s="77" t="str">
        <f t="shared" si="59"/>
        <v>Compliant</v>
      </c>
      <c r="G78" s="77" t="str">
        <f t="shared" si="59"/>
        <v>Compliant</v>
      </c>
      <c r="H78" s="77" t="str">
        <f t="shared" si="59"/>
        <v>Compliant</v>
      </c>
    </row>
    <row r="79" ht="18.0" customHeight="1">
      <c r="B79" s="55" t="s">
        <v>640</v>
      </c>
      <c r="C79" s="80"/>
      <c r="D79" s="80">
        <f>D55*((1-D64*D62)*$C$112+D64*D62*$C$116)/1000</f>
        <v>24029.04</v>
      </c>
      <c r="E79" s="80"/>
      <c r="F79" s="80"/>
      <c r="G79" s="80"/>
      <c r="H79" s="80"/>
    </row>
    <row r="80" ht="18.0" customHeight="1">
      <c r="B80" s="55" t="s">
        <v>642</v>
      </c>
      <c r="C80" s="77"/>
      <c r="D80" s="77" t="str">
        <f>IF(D79&lt;=D58+0.5,"Compliant","NOT compliant")</f>
        <v>Compliant</v>
      </c>
      <c r="E80" s="74" t="s">
        <v>174</v>
      </c>
      <c r="F80" s="74" t="s">
        <v>174</v>
      </c>
      <c r="G80" s="74" t="s">
        <v>174</v>
      </c>
      <c r="H80" s="74" t="s">
        <v>174</v>
      </c>
    </row>
    <row r="81" ht="14.25" customHeight="1">
      <c r="B81" s="54" t="s">
        <v>643</v>
      </c>
      <c r="C81" s="39"/>
      <c r="D81" s="39"/>
      <c r="E81" s="39"/>
      <c r="F81" s="39"/>
      <c r="G81" s="39"/>
      <c r="H81" s="40"/>
    </row>
    <row r="82" ht="16.5" customHeight="1">
      <c r="B82" s="166" t="s">
        <v>644</v>
      </c>
      <c r="C82" s="39"/>
      <c r="D82" s="39"/>
      <c r="E82" s="39"/>
      <c r="F82" s="39"/>
      <c r="G82" s="39"/>
      <c r="H82" s="40"/>
    </row>
    <row r="83" ht="30.0" customHeight="1">
      <c r="B83" s="166" t="s">
        <v>645</v>
      </c>
      <c r="C83" s="39"/>
      <c r="D83" s="39"/>
      <c r="E83" s="39"/>
      <c r="F83" s="39"/>
      <c r="G83" s="39"/>
      <c r="H83" s="40"/>
    </row>
    <row r="84" ht="16.5" customHeight="1">
      <c r="B84" s="166" t="s">
        <v>646</v>
      </c>
      <c r="C84" s="39"/>
      <c r="D84" s="39"/>
      <c r="E84" s="39"/>
      <c r="F84" s="39"/>
      <c r="G84" s="39"/>
      <c r="H84" s="40"/>
    </row>
    <row r="85" ht="16.5" customHeight="1">
      <c r="B85" s="166" t="s">
        <v>647</v>
      </c>
      <c r="C85" s="39"/>
      <c r="D85" s="39"/>
      <c r="E85" s="39"/>
      <c r="F85" s="39"/>
      <c r="G85" s="39"/>
      <c r="H85" s="40"/>
    </row>
    <row r="86" ht="14.25" customHeight="1"/>
    <row r="87" ht="21.75" customHeight="1">
      <c r="B87" s="50" t="s">
        <v>648</v>
      </c>
      <c r="C87" s="39"/>
      <c r="D87" s="39"/>
      <c r="E87" s="39"/>
      <c r="F87" s="39"/>
      <c r="G87" s="39"/>
      <c r="H87" s="39"/>
      <c r="I87" s="39"/>
      <c r="J87" s="39"/>
      <c r="K87" s="39"/>
      <c r="L87" s="39"/>
      <c r="M87" s="39"/>
      <c r="N87" s="40"/>
    </row>
    <row r="88" ht="14.25" customHeight="1">
      <c r="B88" s="51" t="s">
        <v>649</v>
      </c>
      <c r="C88" s="51" t="s">
        <v>650</v>
      </c>
      <c r="D88" s="51" t="s">
        <v>165</v>
      </c>
      <c r="E88" s="51" t="s">
        <v>166</v>
      </c>
      <c r="F88" s="51" t="s">
        <v>167</v>
      </c>
      <c r="G88" s="51" t="s">
        <v>168</v>
      </c>
      <c r="H88" s="51" t="s">
        <v>169</v>
      </c>
      <c r="I88" s="51" t="s">
        <v>651</v>
      </c>
      <c r="J88" s="53"/>
      <c r="K88" s="53"/>
      <c r="L88" s="53"/>
      <c r="M88" s="53"/>
      <c r="N88" s="53"/>
    </row>
    <row r="89" ht="14.25" customHeight="1">
      <c r="B89" s="55" t="s">
        <v>652</v>
      </c>
      <c r="C89" s="111">
        <f>SUMPRODUCT((YEAR($G$10:$G$20)=2027)*$E$10:$E$20)</f>
        <v>896500</v>
      </c>
      <c r="D89" s="111">
        <f>IF(AND(2027&gt;=2027,2027&lt;2027+$C$121),$C89/$C$121,0)</f>
        <v>179300</v>
      </c>
      <c r="E89" s="111">
        <f>IF(AND(2028&gt;=2027,2028&lt;2027+$C$121),$C89/$C$121,0)</f>
        <v>179300</v>
      </c>
      <c r="F89" s="111">
        <f>IF(AND(2029&gt;=2027,2029&lt;2027+$C$121),$C89/$C$121,0)</f>
        <v>179300</v>
      </c>
      <c r="G89" s="111">
        <f>IF(AND(2030&gt;=2027,2030&lt;2027+$C$121),$C89/$C$121,0)</f>
        <v>179300</v>
      </c>
      <c r="H89" s="111">
        <f>IF(AND(2031&gt;=2027,2031&lt;2027+$C$121),$C89/$C$121,0)</f>
        <v>179300</v>
      </c>
      <c r="I89" s="167">
        <f t="shared" ref="I89:I93" si="60">C89-SUM(D89:H89)</f>
        <v>0</v>
      </c>
    </row>
    <row r="90" ht="14.25" customHeight="1">
      <c r="B90" s="55" t="s">
        <v>655</v>
      </c>
      <c r="C90" s="111">
        <f>SUMPRODUCT((YEAR($G$10:$G$20)=2028)*$E$10:$E$20)</f>
        <v>44000</v>
      </c>
      <c r="D90" s="111">
        <f>IF(AND(2027&gt;=2028,2027&lt;2028+$C$121),$C90/$C$121,0)</f>
        <v>0</v>
      </c>
      <c r="E90" s="111">
        <f>IF(AND(2028&gt;=2028,2028&lt;2028+$C$121),$C90/$C$121,0)</f>
        <v>8800</v>
      </c>
      <c r="F90" s="111">
        <f>IF(AND(2029&gt;=2028,2029&lt;2028+$C$121),$C90/$C$121,0)</f>
        <v>8800</v>
      </c>
      <c r="G90" s="111">
        <f>IF(AND(2030&gt;=2028,2030&lt;2028+$C$121),$C90/$C$121,0)</f>
        <v>8800</v>
      </c>
      <c r="H90" s="111">
        <f>IF(AND(2031&gt;=2028,2031&lt;2028+$C$121),$C90/$C$121,0)</f>
        <v>8800</v>
      </c>
      <c r="I90" s="169">
        <f t="shared" si="60"/>
        <v>8800</v>
      </c>
    </row>
    <row r="91" ht="14.25" customHeight="1">
      <c r="B91" s="55" t="s">
        <v>668</v>
      </c>
      <c r="C91" s="111">
        <f>SUMPRODUCT((YEAR($G$10:$G$20)=2029)*$E$10:$E$20)</f>
        <v>0</v>
      </c>
      <c r="D91" s="111">
        <f>IF(AND(2027&gt;=2029,2027&lt;2029+$C$121),$C91/$C$121,0)</f>
        <v>0</v>
      </c>
      <c r="E91" s="111">
        <f>IF(AND(2028&gt;=2029,2028&lt;2029+$C$121),$C91/$C$121,0)</f>
        <v>0</v>
      </c>
      <c r="F91" s="111">
        <f>IF(AND(2029&gt;=2029,2029&lt;2029+$C$121),$C91/$C$121,0)</f>
        <v>0</v>
      </c>
      <c r="G91" s="111">
        <f>IF(AND(2030&gt;=2029,2030&lt;2029+$C$121),$C91/$C$121,0)</f>
        <v>0</v>
      </c>
      <c r="H91" s="111">
        <f>IF(AND(2031&gt;=2029,2031&lt;2029+$C$121),$C91/$C$121,0)</f>
        <v>0</v>
      </c>
      <c r="I91" s="167">
        <f t="shared" si="60"/>
        <v>0</v>
      </c>
    </row>
    <row r="92" ht="14.25" customHeight="1">
      <c r="B92" s="55" t="s">
        <v>670</v>
      </c>
      <c r="C92" s="111">
        <f>SUMPRODUCT((YEAR($G$10:$G$20)=2030)*$E$10:$E$20)</f>
        <v>0</v>
      </c>
      <c r="D92" s="111">
        <f>IF(AND(2027&gt;=2030,2027&lt;2030+$C$121),$C92/$C$121,0)</f>
        <v>0</v>
      </c>
      <c r="E92" s="111">
        <f>IF(AND(2028&gt;=2030,2028&lt;2030+$C$121),$C92/$C$121,0)</f>
        <v>0</v>
      </c>
      <c r="F92" s="111">
        <f>IF(AND(2029&gt;=2030,2029&lt;2030+$C$121),$C92/$C$121,0)</f>
        <v>0</v>
      </c>
      <c r="G92" s="111">
        <f>IF(AND(2030&gt;=2030,2030&lt;2030+$C$121),$C92/$C$121,0)</f>
        <v>0</v>
      </c>
      <c r="H92" s="111">
        <f>IF(AND(2031&gt;=2030,2031&lt;2030+$C$121),$C92/$C$121,0)</f>
        <v>0</v>
      </c>
      <c r="I92" s="167">
        <f t="shared" si="60"/>
        <v>0</v>
      </c>
    </row>
    <row r="93" ht="14.25" customHeight="1">
      <c r="B93" s="55" t="s">
        <v>673</v>
      </c>
      <c r="C93" s="111">
        <f>SUMPRODUCT((YEAR($G$10:$G$20)=2031)*$E$10:$E$20)</f>
        <v>0</v>
      </c>
      <c r="D93" s="111">
        <f>IF(AND(2027&gt;=2031,2027&lt;2031+$C$121),$C93/$C$121,0)</f>
        <v>0</v>
      </c>
      <c r="E93" s="111">
        <f>IF(AND(2028&gt;=2031,2028&lt;2031+$C$121),$C93/$C$121,0)</f>
        <v>0</v>
      </c>
      <c r="F93" s="111">
        <f>IF(AND(2029&gt;=2031,2029&lt;2031+$C$121),$C93/$C$121,0)</f>
        <v>0</v>
      </c>
      <c r="G93" s="111">
        <f>IF(AND(2030&gt;=2031,2030&lt;2031+$C$121),$C93/$C$121,0)</f>
        <v>0</v>
      </c>
      <c r="H93" s="111">
        <f>IF(AND(2031&gt;=2031,2031&lt;2031+$C$121),$C93/$C$121,0)</f>
        <v>0</v>
      </c>
      <c r="I93" s="167">
        <f t="shared" si="60"/>
        <v>0</v>
      </c>
    </row>
    <row r="94" ht="14.25" customHeight="1">
      <c r="B94" s="78" t="s">
        <v>762</v>
      </c>
      <c r="C94" s="117">
        <f t="shared" ref="C94:I94" si="61">SUM(C89:C93)</f>
        <v>940500</v>
      </c>
      <c r="D94" s="117">
        <f t="shared" si="61"/>
        <v>179300</v>
      </c>
      <c r="E94" s="117">
        <f t="shared" si="61"/>
        <v>188100</v>
      </c>
      <c r="F94" s="117">
        <f t="shared" si="61"/>
        <v>188100</v>
      </c>
      <c r="G94" s="117">
        <f t="shared" si="61"/>
        <v>188100</v>
      </c>
      <c r="H94" s="117">
        <f t="shared" si="61"/>
        <v>188100</v>
      </c>
      <c r="I94" s="117">
        <f t="shared" si="61"/>
        <v>8800</v>
      </c>
    </row>
    <row r="95" ht="14.25" customHeight="1">
      <c r="B95" s="73" t="s">
        <v>767</v>
      </c>
      <c r="C95" s="118"/>
      <c r="D95" s="75">
        <f t="shared" ref="D95:H95" si="62">I23</f>
        <v>0.9532163743</v>
      </c>
      <c r="E95" s="75">
        <f t="shared" si="62"/>
        <v>1</v>
      </c>
      <c r="F95" s="75">
        <f t="shared" si="62"/>
        <v>1</v>
      </c>
      <c r="G95" s="75">
        <f t="shared" si="62"/>
        <v>1</v>
      </c>
      <c r="H95" s="75">
        <f t="shared" si="62"/>
        <v>1</v>
      </c>
      <c r="I95" s="118"/>
    </row>
    <row r="96" ht="14.25" customHeight="1">
      <c r="B96" s="73" t="s">
        <v>769</v>
      </c>
      <c r="C96" s="118"/>
      <c r="D96" s="75">
        <f>D77/'Emission Target'!$C$11</f>
        <v>0.3487476107</v>
      </c>
      <c r="E96" s="75">
        <f>E77/'Emission Target'!$C$11</f>
        <v>0.5765496168</v>
      </c>
      <c r="F96" s="75">
        <f>F77/'Emission Target'!$C$11</f>
        <v>0.816775403</v>
      </c>
      <c r="G96" s="75">
        <f>G77/'Emission Target'!$C$11</f>
        <v>0.9024543174</v>
      </c>
      <c r="H96" s="75">
        <f>H77/'Emission Target'!$C$11</f>
        <v>1.034463454</v>
      </c>
      <c r="I96" s="118"/>
    </row>
    <row r="97" ht="30.0" customHeight="1">
      <c r="B97" s="96" t="s">
        <v>771</v>
      </c>
    </row>
    <row r="98" ht="14.25" customHeight="1"/>
    <row r="99" ht="14.25" customHeight="1"/>
    <row r="100" ht="14.25" customHeight="1"/>
    <row r="101" ht="14.25" customHeight="1"/>
    <row r="102" ht="14.25" customHeight="1"/>
    <row r="103" ht="14.25" customHeight="1"/>
    <row r="104" ht="14.25" customHeight="1"/>
    <row r="105" ht="21.75" customHeight="1">
      <c r="B105" s="50" t="s">
        <v>773</v>
      </c>
      <c r="C105" s="39"/>
      <c r="D105" s="39"/>
      <c r="E105" s="39"/>
      <c r="F105" s="39"/>
      <c r="G105" s="39"/>
      <c r="H105" s="39"/>
      <c r="I105" s="39"/>
      <c r="J105" s="39"/>
      <c r="K105" s="39"/>
      <c r="L105" s="39"/>
      <c r="M105" s="39"/>
      <c r="N105" s="40"/>
    </row>
    <row r="106" ht="21.75" customHeight="1">
      <c r="B106" s="51" t="s">
        <v>121</v>
      </c>
      <c r="C106" s="51" t="s">
        <v>122</v>
      </c>
      <c r="D106" s="51" t="s">
        <v>123</v>
      </c>
      <c r="E106" s="52" t="s">
        <v>124</v>
      </c>
      <c r="F106" s="39"/>
      <c r="G106" s="39"/>
      <c r="H106" s="39"/>
      <c r="I106" s="39"/>
      <c r="J106" s="39"/>
      <c r="K106" s="39"/>
      <c r="L106" s="39"/>
      <c r="M106" s="39"/>
      <c r="N106" s="40"/>
    </row>
    <row r="107" ht="16.5" customHeight="1">
      <c r="B107" s="55" t="s">
        <v>781</v>
      </c>
      <c r="C107" s="109">
        <f>'ESG_CAPEX OPEX'!E30</f>
        <v>940500</v>
      </c>
      <c r="D107" s="57" t="s">
        <v>674</v>
      </c>
      <c r="E107" s="146" t="s">
        <v>782</v>
      </c>
      <c r="F107" s="39"/>
      <c r="G107" s="39"/>
      <c r="H107" s="39"/>
      <c r="I107" s="39"/>
      <c r="J107" s="39"/>
      <c r="K107" s="39"/>
      <c r="L107" s="39"/>
      <c r="M107" s="39"/>
      <c r="N107" s="40"/>
    </row>
    <row r="108" ht="16.5" customHeight="1">
      <c r="B108" s="55" t="s">
        <v>783</v>
      </c>
      <c r="C108" s="67">
        <f>'ESG_CAPEX OPEX'!B29</f>
        <v>0.1</v>
      </c>
      <c r="D108" s="57" t="s">
        <v>665</v>
      </c>
      <c r="E108" s="146" t="s">
        <v>784</v>
      </c>
      <c r="F108" s="39"/>
      <c r="G108" s="39"/>
      <c r="H108" s="39"/>
      <c r="I108" s="39"/>
      <c r="J108" s="39"/>
      <c r="K108" s="39"/>
      <c r="L108" s="39"/>
      <c r="M108" s="39"/>
      <c r="N108" s="40"/>
    </row>
    <row r="109" ht="16.5" customHeight="1">
      <c r="B109" s="55" t="s">
        <v>126</v>
      </c>
      <c r="C109" s="56">
        <f>'ESG_CAPEX OPEX'!B6</f>
        <v>300000</v>
      </c>
      <c r="D109" s="57" t="s">
        <v>785</v>
      </c>
      <c r="E109" s="146" t="s">
        <v>786</v>
      </c>
      <c r="F109" s="39"/>
      <c r="G109" s="39"/>
      <c r="H109" s="39"/>
      <c r="I109" s="39"/>
      <c r="J109" s="39"/>
      <c r="K109" s="39"/>
      <c r="L109" s="39"/>
      <c r="M109" s="39"/>
      <c r="N109" s="40"/>
    </row>
    <row r="110" ht="16.5" customHeight="1">
      <c r="B110" s="55" t="s">
        <v>787</v>
      </c>
      <c r="C110" s="56">
        <f>'Sales Forecast &amp; Case 2A KPI'!C21</f>
        <v>5020000</v>
      </c>
      <c r="D110" s="57" t="s">
        <v>131</v>
      </c>
      <c r="E110" s="146" t="s">
        <v>788</v>
      </c>
      <c r="F110" s="39"/>
      <c r="G110" s="39"/>
      <c r="H110" s="39"/>
      <c r="I110" s="39"/>
      <c r="J110" s="39"/>
      <c r="K110" s="39"/>
      <c r="L110" s="39"/>
      <c r="M110" s="39"/>
      <c r="N110" s="40"/>
    </row>
    <row r="111" ht="16.5" customHeight="1">
      <c r="B111" s="55" t="s">
        <v>789</v>
      </c>
      <c r="C111" s="65">
        <f>C109/C110</f>
        <v>0.05976095618</v>
      </c>
      <c r="D111" s="57" t="s">
        <v>134</v>
      </c>
      <c r="E111" s="146" t="s">
        <v>790</v>
      </c>
      <c r="F111" s="39"/>
      <c r="G111" s="39"/>
      <c r="H111" s="39"/>
      <c r="I111" s="39"/>
      <c r="J111" s="39"/>
      <c r="K111" s="39"/>
      <c r="L111" s="39"/>
      <c r="M111" s="39"/>
      <c r="N111" s="40"/>
    </row>
    <row r="112" ht="16.5" customHeight="1">
      <c r="B112" s="55" t="s">
        <v>137</v>
      </c>
      <c r="C112" s="66">
        <f>'CO2 Emission Calculation'!C4</f>
        <v>94.6</v>
      </c>
      <c r="D112" s="57" t="s">
        <v>138</v>
      </c>
      <c r="E112" s="146" t="s">
        <v>139</v>
      </c>
      <c r="F112" s="39"/>
      <c r="G112" s="39"/>
      <c r="H112" s="39"/>
      <c r="I112" s="39"/>
      <c r="J112" s="39"/>
      <c r="K112" s="39"/>
      <c r="L112" s="39"/>
      <c r="M112" s="39"/>
      <c r="N112" s="40"/>
    </row>
    <row r="113" ht="16.5" customHeight="1">
      <c r="B113" s="55" t="s">
        <v>140</v>
      </c>
      <c r="C113" s="66">
        <f>'CO2 Emission Calculation'!C5</f>
        <v>10</v>
      </c>
      <c r="D113" s="57" t="s">
        <v>138</v>
      </c>
      <c r="E113" s="146" t="s">
        <v>141</v>
      </c>
      <c r="F113" s="39"/>
      <c r="G113" s="39"/>
      <c r="H113" s="39"/>
      <c r="I113" s="39"/>
      <c r="J113" s="39"/>
      <c r="K113" s="39"/>
      <c r="L113" s="39"/>
      <c r="M113" s="39"/>
      <c r="N113" s="40"/>
    </row>
    <row r="114" ht="16.5" customHeight="1">
      <c r="B114" s="55" t="s">
        <v>143</v>
      </c>
      <c r="C114" s="66">
        <f>'CO2 Emission Calculation'!C6</f>
        <v>7</v>
      </c>
      <c r="D114" s="57" t="s">
        <v>138</v>
      </c>
      <c r="E114" s="146" t="s">
        <v>144</v>
      </c>
      <c r="F114" s="39"/>
      <c r="G114" s="39"/>
      <c r="H114" s="39"/>
      <c r="I114" s="39"/>
      <c r="J114" s="39"/>
      <c r="K114" s="39"/>
      <c r="L114" s="39"/>
      <c r="M114" s="39"/>
      <c r="N114" s="40"/>
    </row>
    <row r="115" ht="16.5" customHeight="1">
      <c r="B115" s="55" t="s">
        <v>859</v>
      </c>
      <c r="C115" s="67">
        <f>'ESG_CAPEX OPEX'!B10</f>
        <v>0.7</v>
      </c>
      <c r="D115" s="57" t="s">
        <v>665</v>
      </c>
      <c r="E115" s="146" t="s">
        <v>860</v>
      </c>
      <c r="F115" s="39"/>
      <c r="G115" s="39"/>
      <c r="H115" s="39"/>
      <c r="I115" s="39"/>
      <c r="J115" s="39"/>
      <c r="K115" s="39"/>
      <c r="L115" s="39"/>
      <c r="M115" s="39"/>
      <c r="N115" s="40"/>
    </row>
    <row r="116" ht="16.5" customHeight="1">
      <c r="B116" s="55" t="s">
        <v>151</v>
      </c>
      <c r="C116" s="68">
        <f>C115*C113+(1-C115)*C114</f>
        <v>9.1</v>
      </c>
      <c r="D116" s="57" t="s">
        <v>138</v>
      </c>
      <c r="E116" s="146" t="s">
        <v>862</v>
      </c>
      <c r="F116" s="39"/>
      <c r="G116" s="39"/>
      <c r="H116" s="39"/>
      <c r="I116" s="39"/>
      <c r="J116" s="39"/>
      <c r="K116" s="39"/>
      <c r="L116" s="39"/>
      <c r="M116" s="39"/>
      <c r="N116" s="40"/>
    </row>
    <row r="117" ht="16.5" customHeight="1">
      <c r="B117" s="55" t="s">
        <v>863</v>
      </c>
      <c r="C117" s="199">
        <v>46478.0</v>
      </c>
      <c r="D117" s="57" t="s">
        <v>155</v>
      </c>
      <c r="E117" s="146" t="s">
        <v>865</v>
      </c>
      <c r="F117" s="39"/>
      <c r="G117" s="39"/>
      <c r="H117" s="39"/>
      <c r="I117" s="39"/>
      <c r="J117" s="39"/>
      <c r="K117" s="39"/>
      <c r="L117" s="39"/>
      <c r="M117" s="39"/>
      <c r="N117" s="40"/>
    </row>
    <row r="118" ht="16.5" customHeight="1">
      <c r="B118" s="55" t="s">
        <v>866</v>
      </c>
      <c r="C118" s="156">
        <v>8.0</v>
      </c>
      <c r="D118" s="57" t="s">
        <v>867</v>
      </c>
      <c r="E118" s="146" t="s">
        <v>868</v>
      </c>
      <c r="F118" s="39"/>
      <c r="G118" s="39"/>
      <c r="H118" s="39"/>
      <c r="I118" s="39"/>
      <c r="J118" s="39"/>
      <c r="K118" s="39"/>
      <c r="L118" s="39"/>
      <c r="M118" s="39"/>
      <c r="N118" s="40"/>
    </row>
    <row r="119" ht="16.5" customHeight="1">
      <c r="B119" s="55" t="s">
        <v>870</v>
      </c>
      <c r="C119" s="71">
        <v>0.05</v>
      </c>
      <c r="D119" s="57" t="s">
        <v>812</v>
      </c>
      <c r="E119" s="146" t="s">
        <v>871</v>
      </c>
      <c r="F119" s="39"/>
      <c r="G119" s="39"/>
      <c r="H119" s="39"/>
      <c r="I119" s="39"/>
      <c r="J119" s="39"/>
      <c r="K119" s="39"/>
      <c r="L119" s="39"/>
      <c r="M119" s="39"/>
      <c r="N119" s="40"/>
    </row>
    <row r="120" ht="16.5" customHeight="1">
      <c r="B120" s="55" t="s">
        <v>878</v>
      </c>
      <c r="C120" s="71">
        <v>0.05</v>
      </c>
      <c r="D120" s="57" t="s">
        <v>665</v>
      </c>
      <c r="E120" s="146" t="s">
        <v>880</v>
      </c>
      <c r="F120" s="39"/>
      <c r="G120" s="39"/>
      <c r="H120" s="39"/>
      <c r="I120" s="39"/>
      <c r="J120" s="39"/>
      <c r="K120" s="39"/>
      <c r="L120" s="39"/>
      <c r="M120" s="39"/>
      <c r="N120" s="40"/>
    </row>
    <row r="121" ht="16.5" customHeight="1">
      <c r="B121" s="55" t="s">
        <v>882</v>
      </c>
      <c r="C121" s="156">
        <v>5.0</v>
      </c>
      <c r="D121" s="57" t="s">
        <v>883</v>
      </c>
      <c r="E121" s="146" t="s">
        <v>884</v>
      </c>
      <c r="F121" s="39"/>
      <c r="G121" s="39"/>
      <c r="H121" s="39"/>
      <c r="I121" s="39"/>
      <c r="J121" s="39"/>
      <c r="K121" s="39"/>
      <c r="L121" s="39"/>
      <c r="M121" s="39"/>
      <c r="N121" s="40"/>
    </row>
    <row r="122" ht="14.25" customHeight="1"/>
    <row r="123" ht="14.25" customHeight="1">
      <c r="B123" s="83" t="s">
        <v>885</v>
      </c>
      <c r="C123" s="84"/>
      <c r="D123" s="84"/>
      <c r="E123" s="84"/>
      <c r="F123" s="84"/>
      <c r="G123" s="84"/>
      <c r="H123" s="84"/>
      <c r="I123" s="84"/>
      <c r="J123" s="84"/>
      <c r="K123" s="84"/>
      <c r="L123" s="84"/>
      <c r="M123" s="84"/>
      <c r="N123" s="85"/>
    </row>
    <row r="124" ht="16.5" customHeight="1">
      <c r="B124" s="148" t="s">
        <v>887</v>
      </c>
      <c r="C124" s="84"/>
      <c r="D124" s="84"/>
      <c r="E124" s="84"/>
      <c r="F124" s="84"/>
      <c r="G124" s="84"/>
      <c r="H124" s="84"/>
      <c r="I124" s="84"/>
      <c r="J124" s="84"/>
      <c r="K124" s="84"/>
      <c r="L124" s="84"/>
      <c r="M124" s="84"/>
      <c r="N124" s="85"/>
    </row>
    <row r="125" ht="30.0" customHeight="1">
      <c r="B125" s="148" t="s">
        <v>888</v>
      </c>
      <c r="C125" s="84"/>
      <c r="D125" s="84"/>
      <c r="E125" s="84"/>
      <c r="F125" s="84"/>
      <c r="G125" s="84"/>
      <c r="H125" s="84"/>
      <c r="I125" s="84"/>
      <c r="J125" s="84"/>
      <c r="K125" s="84"/>
      <c r="L125" s="84"/>
      <c r="M125" s="84"/>
      <c r="N125" s="85"/>
    </row>
    <row r="126" ht="14.25" customHeight="1"/>
    <row r="127" ht="21.75" customHeight="1">
      <c r="B127" s="103" t="s">
        <v>889</v>
      </c>
      <c r="C127" s="4"/>
      <c r="D127" s="4"/>
      <c r="E127" s="4"/>
      <c r="F127" s="4"/>
      <c r="G127" s="4"/>
      <c r="H127" s="4"/>
      <c r="I127" s="4"/>
      <c r="J127" s="4"/>
      <c r="K127" s="4"/>
      <c r="L127" s="4"/>
      <c r="M127" s="4"/>
      <c r="N127" s="6"/>
    </row>
    <row r="128" ht="21.75" customHeight="1">
      <c r="B128" s="51" t="s">
        <v>892</v>
      </c>
      <c r="C128" s="51" t="str">
        <f t="shared" ref="C128:H128" si="63">C$52</f>
        <v>2026</v>
      </c>
      <c r="D128" s="51" t="str">
        <f t="shared" si="63"/>
        <v>2027</v>
      </c>
      <c r="E128" s="51" t="str">
        <f t="shared" si="63"/>
        <v>2028</v>
      </c>
      <c r="F128" s="51" t="str">
        <f t="shared" si="63"/>
        <v>2029</v>
      </c>
      <c r="G128" s="51" t="str">
        <f t="shared" si="63"/>
        <v>2030</v>
      </c>
      <c r="H128" s="51" t="str">
        <f t="shared" si="63"/>
        <v>2031</v>
      </c>
    </row>
    <row r="129" ht="18.0" customHeight="1">
      <c r="B129" s="55" t="s">
        <v>1</v>
      </c>
      <c r="C129" s="70">
        <f t="shared" ref="C129:H129" si="64">1-C65</f>
        <v>1</v>
      </c>
      <c r="D129" s="70">
        <f t="shared" si="64"/>
        <v>0.6609589041</v>
      </c>
      <c r="E129" s="70">
        <f t="shared" si="64"/>
        <v>0.4</v>
      </c>
      <c r="F129" s="70">
        <f t="shared" si="64"/>
        <v>0.2</v>
      </c>
      <c r="G129" s="70">
        <f t="shared" si="64"/>
        <v>0.2</v>
      </c>
      <c r="H129" s="70">
        <f t="shared" si="64"/>
        <v>0.2</v>
      </c>
    </row>
    <row r="130" ht="18.0" customHeight="1">
      <c r="B130" s="55" t="s">
        <v>29</v>
      </c>
      <c r="C130" s="70">
        <f t="shared" ref="C130:H130" si="65">C65*$C$115</f>
        <v>0</v>
      </c>
      <c r="D130" s="70">
        <f t="shared" si="65"/>
        <v>0.2373287671</v>
      </c>
      <c r="E130" s="70">
        <f t="shared" si="65"/>
        <v>0.42</v>
      </c>
      <c r="F130" s="70">
        <f t="shared" si="65"/>
        <v>0.56</v>
      </c>
      <c r="G130" s="70">
        <f t="shared" si="65"/>
        <v>0.56</v>
      </c>
      <c r="H130" s="70">
        <f t="shared" si="65"/>
        <v>0.56</v>
      </c>
    </row>
    <row r="131" ht="18.0" customHeight="1">
      <c r="B131" s="55" t="s">
        <v>30</v>
      </c>
      <c r="C131" s="70">
        <f t="shared" ref="C131:H131" si="66">C65*(1-$C$115)</f>
        <v>0</v>
      </c>
      <c r="D131" s="70">
        <f t="shared" si="66"/>
        <v>0.1017123288</v>
      </c>
      <c r="E131" s="70">
        <f t="shared" si="66"/>
        <v>0.18</v>
      </c>
      <c r="F131" s="70">
        <f t="shared" si="66"/>
        <v>0.24</v>
      </c>
      <c r="G131" s="70">
        <f t="shared" si="66"/>
        <v>0.24</v>
      </c>
      <c r="H131" s="70">
        <f t="shared" si="66"/>
        <v>0.24</v>
      </c>
    </row>
    <row r="132" ht="14.25" customHeight="1"/>
    <row r="133" ht="14.25" customHeight="1">
      <c r="B133" s="51" t="s">
        <v>903</v>
      </c>
      <c r="C133" s="51" t="s">
        <v>904</v>
      </c>
      <c r="D133" s="51" t="s">
        <v>905</v>
      </c>
      <c r="E133" s="51" t="s">
        <v>906</v>
      </c>
      <c r="F133" s="51" t="s">
        <v>907</v>
      </c>
      <c r="G133" s="51" t="s">
        <v>908</v>
      </c>
      <c r="H133" s="51" t="s">
        <v>909</v>
      </c>
      <c r="I133" s="51" t="s">
        <v>910</v>
      </c>
      <c r="J133" s="51" t="s">
        <v>911</v>
      </c>
    </row>
    <row r="134" ht="18.0" customHeight="1">
      <c r="B134" s="55" t="s">
        <v>913</v>
      </c>
      <c r="C134" s="111">
        <f>C89</f>
        <v>896500</v>
      </c>
      <c r="D134" s="111">
        <f>C134-D94</f>
        <v>717200</v>
      </c>
      <c r="E134" s="111">
        <f>D134+C90</f>
        <v>761200</v>
      </c>
      <c r="F134" s="111">
        <f t="shared" ref="F134:I134" si="67">E134-E94</f>
        <v>573100</v>
      </c>
      <c r="G134" s="111">
        <f t="shared" si="67"/>
        <v>385000</v>
      </c>
      <c r="H134" s="111">
        <f t="shared" si="67"/>
        <v>196900</v>
      </c>
      <c r="I134" s="111">
        <f t="shared" si="67"/>
        <v>8800</v>
      </c>
      <c r="J134" s="111">
        <f>I134</f>
        <v>8800</v>
      </c>
    </row>
    <row r="135" ht="22.5" customHeight="1">
      <c r="B135" s="55" t="s">
        <v>916</v>
      </c>
      <c r="C135" s="111">
        <f>0</f>
        <v>0</v>
      </c>
      <c r="D135" s="111">
        <f>D134</f>
        <v>717200</v>
      </c>
      <c r="E135" s="111">
        <f>D134</f>
        <v>717200</v>
      </c>
      <c r="F135" s="111">
        <f t="shared" ref="F135:I135" si="68">F134</f>
        <v>573100</v>
      </c>
      <c r="G135" s="111">
        <f t="shared" si="68"/>
        <v>385000</v>
      </c>
      <c r="H135" s="111">
        <f t="shared" si="68"/>
        <v>196900</v>
      </c>
      <c r="I135" s="111">
        <f t="shared" si="68"/>
        <v>8800</v>
      </c>
      <c r="J135" s="111">
        <f>0</f>
        <v>0</v>
      </c>
    </row>
    <row r="136" ht="14.25" customHeight="1">
      <c r="B136" s="55" t="s">
        <v>921</v>
      </c>
      <c r="C136" s="111">
        <f>C89</f>
        <v>896500</v>
      </c>
      <c r="D136" s="111">
        <f>D94</f>
        <v>179300</v>
      </c>
      <c r="E136" s="111">
        <f>C90</f>
        <v>44000</v>
      </c>
      <c r="F136" s="111">
        <f t="shared" ref="F136:I136" si="69">E94</f>
        <v>188100</v>
      </c>
      <c r="G136" s="111">
        <f t="shared" si="69"/>
        <v>188100</v>
      </c>
      <c r="H136" s="111">
        <f t="shared" si="69"/>
        <v>188100</v>
      </c>
      <c r="I136" s="111">
        <f t="shared" si="69"/>
        <v>188100</v>
      </c>
      <c r="J136" s="111">
        <f>J134</f>
        <v>8800</v>
      </c>
    </row>
    <row r="137" ht="45.0" customHeight="1">
      <c r="B137" s="205" t="s">
        <v>926</v>
      </c>
      <c r="C137" s="206"/>
      <c r="D137" s="206"/>
      <c r="E137" s="206"/>
      <c r="F137" s="206"/>
      <c r="G137" s="206"/>
      <c r="H137" s="206"/>
      <c r="I137" s="206"/>
      <c r="J137" s="206"/>
      <c r="K137" s="206"/>
      <c r="L137" s="206"/>
      <c r="M137" s="206"/>
      <c r="N137" s="207"/>
    </row>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9">
    <mergeCell ref="E107:N107"/>
    <mergeCell ref="E108:N108"/>
    <mergeCell ref="E109:N109"/>
    <mergeCell ref="E110:N110"/>
    <mergeCell ref="E111:N111"/>
    <mergeCell ref="E112:N112"/>
    <mergeCell ref="E113:N113"/>
    <mergeCell ref="E121:N121"/>
    <mergeCell ref="B123:N123"/>
    <mergeCell ref="B124:N124"/>
    <mergeCell ref="B125:N125"/>
    <mergeCell ref="B127:N127"/>
    <mergeCell ref="B137:N137"/>
    <mergeCell ref="E114:N114"/>
    <mergeCell ref="E115:N115"/>
    <mergeCell ref="E116:N116"/>
    <mergeCell ref="E117:N117"/>
    <mergeCell ref="E118:N118"/>
    <mergeCell ref="E119:N119"/>
    <mergeCell ref="E120:N120"/>
    <mergeCell ref="B1:N1"/>
    <mergeCell ref="B2:N2"/>
    <mergeCell ref="E4:F4"/>
    <mergeCell ref="G4:H4"/>
    <mergeCell ref="I4:J4"/>
    <mergeCell ref="K4:L4"/>
    <mergeCell ref="M4:N4"/>
    <mergeCell ref="C4:D4"/>
    <mergeCell ref="C5:D5"/>
    <mergeCell ref="E5:F5"/>
    <mergeCell ref="G5:H5"/>
    <mergeCell ref="I5:J5"/>
    <mergeCell ref="K5:L5"/>
    <mergeCell ref="M5:N5"/>
    <mergeCell ref="C6:D6"/>
    <mergeCell ref="E6:F6"/>
    <mergeCell ref="G6:H6"/>
    <mergeCell ref="I6:J6"/>
    <mergeCell ref="K6:L6"/>
    <mergeCell ref="M6:N6"/>
    <mergeCell ref="B8:N8"/>
    <mergeCell ref="N22:N24"/>
    <mergeCell ref="B26:P26"/>
    <mergeCell ref="D27:G27"/>
    <mergeCell ref="L27:M27"/>
    <mergeCell ref="N27:N28"/>
    <mergeCell ref="O27:O28"/>
    <mergeCell ref="P27:P28"/>
    <mergeCell ref="H27:K27"/>
    <mergeCell ref="B42:P42"/>
    <mergeCell ref="D49:E49"/>
    <mergeCell ref="G49:H49"/>
    <mergeCell ref="J49:K49"/>
    <mergeCell ref="M49:N49"/>
    <mergeCell ref="B51:N51"/>
    <mergeCell ref="B53:H53"/>
    <mergeCell ref="B57:H57"/>
    <mergeCell ref="B60:H60"/>
    <mergeCell ref="B66:H66"/>
    <mergeCell ref="B72:H72"/>
    <mergeCell ref="B81:H81"/>
    <mergeCell ref="B82:H82"/>
    <mergeCell ref="B83:H83"/>
    <mergeCell ref="B84:H84"/>
    <mergeCell ref="B85:H85"/>
    <mergeCell ref="B87:N87"/>
    <mergeCell ref="B97:I97"/>
    <mergeCell ref="B105:N105"/>
    <mergeCell ref="E106:N106"/>
  </mergeCells>
  <conditionalFormatting sqref="C29:M41">
    <cfRule type="expression" dxfId="2" priority="1" stopIfTrue="1">
      <formula>AND($P29&gt;=DATE(VALUE(RIGHT(C$28,4)),VALUE(MID(C$28,2,1))*3-2,1),$P29&lt;DATE(VALUE(RIGHT(C$28,4)),VALUE(MID(C$28,2,1))*3+1,1))</formula>
    </cfRule>
  </conditionalFormatting>
  <conditionalFormatting sqref="C29:M41">
    <cfRule type="expression" dxfId="3" priority="2" stopIfTrue="1">
      <formula>AND($O29&lt;DATE(VALUE(RIGHT(C$28,4)),VALUE(MID(C$28,2,1))*3+1,1),$P29&gt;DATE(VALUE(RIGHT(C$28,4)),VALUE(MID(C$28,2,1))*3-2,1))</formula>
    </cfRule>
  </conditionalFormatting>
  <conditionalFormatting sqref="C29:M41">
    <cfRule type="expression" dxfId="4" priority="3" stopIfTrue="1">
      <formula>DATE(VALUE(RIGHT(C$28,4)),VALUE(MID(C$28,2,1))*3-2,1)&gt;$P29</formula>
    </cfRule>
  </conditionalFormatting>
  <conditionalFormatting sqref="C43:M48">
    <cfRule type="expression" dxfId="5" priority="4" stopIfTrue="1">
      <formula>AND($O43&lt;DATE(VALUE(RIGHT(C$28,4)),VALUE(MID(C$28,2,1))*3+1,1),$P43&gt;=DATE(VALUE(RIGHT(C$28,4)),VALUE(MID(C$28,2,1))*3-2,1))</formula>
    </cfRule>
  </conditionalFormatting>
  <conditionalFormatting sqref="D80">
    <cfRule type="expression" dxfId="0" priority="5">
      <formula>OR(LEFT(D80,3)="NOT",D80="FAIL",D80="CHECK",D80="No",D80="Not eligible")</formula>
    </cfRule>
  </conditionalFormatting>
  <conditionalFormatting sqref="D78:H78">
    <cfRule type="expression" dxfId="0" priority="6">
      <formula>OR(LEFT(D78,3)="NOT",D78="FAIL",D78="CHECK",D78="No",D78="Not eligible")</formula>
    </cfRule>
  </conditionalFormatting>
  <conditionalFormatting sqref="E24">
    <cfRule type="expression" dxfId="0" priority="7">
      <formula>OR(LEFT(E24,3)="NOT",E24="FAIL",E24="CHECK",E24="No",E24="Not eligible")</formula>
    </cfRule>
  </conditionalFormatting>
  <printOptions/>
  <pageMargins bottom="0.5" footer="0.0" header="0.0" left="0.4" right="0.4" top="0.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pageSetUpPr fitToPage="1"/>
  </sheetPr>
  <sheetViews>
    <sheetView showGridLines="0" workbookViewId="0"/>
  </sheetViews>
  <sheetFormatPr customHeight="1" defaultColWidth="14.43" defaultRowHeight="15.0"/>
  <cols>
    <col customWidth="1" min="1" max="1" width="2.0"/>
    <col customWidth="1" min="2" max="2" width="50.0"/>
    <col customWidth="1" min="3" max="8" width="13.0"/>
    <col customWidth="1" min="9" max="9" width="2.43"/>
    <col customWidth="1" min="10" max="15" width="12.0"/>
    <col customWidth="1" min="16" max="26" width="8.71"/>
  </cols>
  <sheetData>
    <row r="1" ht="30.0" customHeight="1">
      <c r="A1" s="37"/>
      <c r="B1" s="38" t="s">
        <v>212</v>
      </c>
      <c r="C1" s="39"/>
      <c r="D1" s="39"/>
      <c r="E1" s="39"/>
      <c r="F1" s="39"/>
      <c r="G1" s="39"/>
      <c r="H1" s="39"/>
      <c r="I1" s="39"/>
      <c r="J1" s="39"/>
      <c r="K1" s="39"/>
      <c r="L1" s="39"/>
      <c r="M1" s="39"/>
      <c r="N1" s="39"/>
      <c r="O1" s="40"/>
    </row>
    <row r="2" ht="16.5" customHeight="1">
      <c r="B2" s="41" t="s">
        <v>213</v>
      </c>
      <c r="C2" s="39"/>
      <c r="D2" s="39"/>
      <c r="E2" s="39"/>
      <c r="F2" s="39"/>
      <c r="G2" s="39"/>
      <c r="H2" s="39"/>
      <c r="I2" s="39"/>
      <c r="J2" s="39"/>
      <c r="K2" s="39"/>
      <c r="L2" s="39"/>
      <c r="M2" s="39"/>
      <c r="N2" s="39"/>
      <c r="O2" s="40"/>
    </row>
    <row r="3" ht="14.25" customHeight="1"/>
    <row r="4" ht="25.5" customHeight="1">
      <c r="B4" s="42" t="s">
        <v>214</v>
      </c>
      <c r="C4" s="43" t="s">
        <v>215</v>
      </c>
      <c r="D4" s="40"/>
      <c r="E4" s="43" t="s">
        <v>216</v>
      </c>
      <c r="F4" s="40"/>
      <c r="G4" s="43" t="s">
        <v>217</v>
      </c>
      <c r="H4" s="40"/>
      <c r="J4" s="43" t="s">
        <v>218</v>
      </c>
      <c r="K4" s="40"/>
      <c r="L4" s="43" t="s">
        <v>219</v>
      </c>
      <c r="M4" s="40"/>
      <c r="N4" s="43" t="s">
        <v>220</v>
      </c>
      <c r="O4" s="40"/>
    </row>
    <row r="5" ht="33.75" customHeight="1">
      <c r="B5" s="97" t="str">
        <f>TEXT(D42,"0.0%")&amp;"  ·  "&amp;TEXT(E42,"0.0%")&amp;"  ·  "&amp;TEXT(F42,"0.0%")</f>
        <v>91.8%  ·  90.4%  ·  88.3%</v>
      </c>
      <c r="C5" s="45">
        <f>D19</f>
        <v>5622400</v>
      </c>
      <c r="D5" s="40"/>
      <c r="E5" s="45">
        <f>F19</f>
        <v>8650715</v>
      </c>
      <c r="F5" s="40"/>
      <c r="G5" s="46">
        <f>G49</f>
        <v>0.06333333333</v>
      </c>
      <c r="H5" s="40"/>
      <c r="J5" s="45">
        <f>H19</f>
        <v>6125443.21</v>
      </c>
      <c r="K5" s="40"/>
      <c r="L5" s="45">
        <f>G25+H25</f>
        <v>5197517.606</v>
      </c>
      <c r="M5" s="40"/>
      <c r="N5" s="47">
        <f>MAX(C27:H27)</f>
        <v>1.72325</v>
      </c>
      <c r="O5" s="40"/>
    </row>
    <row r="6" ht="30.0" customHeight="1">
      <c r="B6" s="48" t="s">
        <v>221</v>
      </c>
      <c r="C6" s="49" t="str">
        <f>"+"&amp;TEXT(D19/C19-1,"0%")&amp;" vs 2026"</f>
        <v>+12% vs 2026</v>
      </c>
      <c r="D6" s="40"/>
      <c r="E6" s="49" t="str">
        <f>"+"&amp;TEXT(F19/C19-1,"0%")&amp;" vs 2026 (peak)"</f>
        <v>+72% vs 2026 (peak)</v>
      </c>
      <c r="F6" s="40"/>
      <c r="G6" s="49" t="s">
        <v>223</v>
      </c>
      <c r="H6" s="40"/>
      <c r="I6" s="53"/>
      <c r="J6" s="49" t="str">
        <f>"Bound by "&amp;LOWER(H21)</f>
        <v>Bound by carbon capacity</v>
      </c>
      <c r="K6" s="40"/>
      <c r="L6" s="49" t="s">
        <v>241</v>
      </c>
      <c r="M6" s="40"/>
      <c r="N6" s="49" t="s">
        <v>242</v>
      </c>
      <c r="O6" s="40"/>
    </row>
    <row r="7" ht="14.25" customHeight="1"/>
    <row r="8" ht="21.75" customHeight="1">
      <c r="B8" s="103" t="s">
        <v>243</v>
      </c>
      <c r="C8" s="4"/>
      <c r="D8" s="4"/>
      <c r="E8" s="4"/>
      <c r="F8" s="4"/>
      <c r="G8" s="4"/>
      <c r="H8" s="4"/>
      <c r="I8" s="4"/>
      <c r="J8" s="4"/>
      <c r="K8" s="4"/>
      <c r="L8" s="4"/>
      <c r="M8" s="4"/>
      <c r="N8" s="4"/>
      <c r="O8" s="6"/>
    </row>
    <row r="9" ht="21.75" customHeight="1">
      <c r="B9" s="51" t="s">
        <v>0</v>
      </c>
      <c r="C9" s="51" t="s">
        <v>164</v>
      </c>
      <c r="D9" s="51" t="s">
        <v>165</v>
      </c>
      <c r="E9" s="51" t="s">
        <v>166</v>
      </c>
      <c r="F9" s="51" t="s">
        <v>167</v>
      </c>
      <c r="G9" s="51" t="s">
        <v>248</v>
      </c>
      <c r="H9" s="51" t="s">
        <v>251</v>
      </c>
    </row>
    <row r="10" ht="14.25" customHeight="1">
      <c r="B10" s="104" t="s">
        <v>255</v>
      </c>
      <c r="C10" s="39"/>
      <c r="D10" s="39"/>
      <c r="E10" s="39"/>
      <c r="F10" s="39"/>
      <c r="G10" s="39"/>
      <c r="H10" s="40"/>
    </row>
    <row r="11" ht="33.0" customHeight="1">
      <c r="B11" s="55" t="s">
        <v>257</v>
      </c>
      <c r="C11" s="80">
        <f t="shared" ref="C11:H11" si="1">C50</f>
        <v>5020000</v>
      </c>
      <c r="D11" s="80">
        <f t="shared" si="1"/>
        <v>6124400</v>
      </c>
      <c r="E11" s="80">
        <f t="shared" si="1"/>
        <v>7655500</v>
      </c>
      <c r="F11" s="80">
        <f t="shared" si="1"/>
        <v>9799040</v>
      </c>
      <c r="G11" s="80">
        <f t="shared" si="1"/>
        <v>10419645.87</v>
      </c>
      <c r="H11" s="80">
        <f t="shared" si="1"/>
        <v>11079556.77</v>
      </c>
    </row>
    <row r="12" ht="18.0" customHeight="1">
      <c r="B12" s="55" t="s">
        <v>258</v>
      </c>
      <c r="C12" s="114">
        <f t="shared" ref="C12:H12" si="2">C51</f>
        <v>1</v>
      </c>
      <c r="D12" s="114">
        <f t="shared" si="2"/>
        <v>0.9180327869</v>
      </c>
      <c r="E12" s="114">
        <f t="shared" si="2"/>
        <v>0.904</v>
      </c>
      <c r="F12" s="114">
        <f t="shared" si="2"/>
        <v>0.8828125</v>
      </c>
      <c r="G12" s="114">
        <f t="shared" si="2"/>
        <v>0.8828125</v>
      </c>
      <c r="H12" s="114">
        <f t="shared" si="2"/>
        <v>0.8828125</v>
      </c>
    </row>
    <row r="13" ht="18.0" customHeight="1">
      <c r="B13" s="55" t="s">
        <v>259</v>
      </c>
      <c r="C13" s="80">
        <f t="shared" ref="C13:H13" si="3">C11*C12</f>
        <v>5020000</v>
      </c>
      <c r="D13" s="80">
        <f t="shared" si="3"/>
        <v>5622400</v>
      </c>
      <c r="E13" s="80">
        <f t="shared" si="3"/>
        <v>6920572</v>
      </c>
      <c r="F13" s="80">
        <f t="shared" si="3"/>
        <v>8650715</v>
      </c>
      <c r="G13" s="80">
        <f t="shared" si="3"/>
        <v>9198593.617</v>
      </c>
      <c r="H13" s="80">
        <f t="shared" si="3"/>
        <v>9781171.212</v>
      </c>
    </row>
    <row r="14" ht="14.25" customHeight="1">
      <c r="B14" s="104" t="s">
        <v>260</v>
      </c>
      <c r="C14" s="39"/>
      <c r="D14" s="39"/>
      <c r="E14" s="39"/>
      <c r="F14" s="39"/>
      <c r="G14" s="39"/>
      <c r="H14" s="40"/>
    </row>
    <row r="15" ht="18.0" customHeight="1">
      <c r="B15" s="55" t="s">
        <v>261</v>
      </c>
      <c r="C15" s="57" t="s">
        <v>262</v>
      </c>
      <c r="D15" s="113" t="str">
        <f>'Task 1_ESG Roadmap'!D78</f>
        <v>Compliant</v>
      </c>
      <c r="E15" s="113" t="str">
        <f>'Task 1_ESG Roadmap'!E78</f>
        <v>Compliant</v>
      </c>
      <c r="F15" s="113" t="str">
        <f>'Task 1_ESG Roadmap'!F78</f>
        <v>Compliant</v>
      </c>
      <c r="G15" s="113" t="str">
        <f>'Task 1_ESG Roadmap'!G78</f>
        <v>Compliant</v>
      </c>
      <c r="H15" s="113" t="str">
        <f>'Task 1_ESG Roadmap'!H78</f>
        <v>Compliant</v>
      </c>
    </row>
    <row r="16" ht="18.0" customHeight="1">
      <c r="B16" s="55" t="s">
        <v>264</v>
      </c>
      <c r="C16" s="80">
        <f t="shared" ref="C16:D16" si="4">C13</f>
        <v>5020000</v>
      </c>
      <c r="D16" s="80">
        <f t="shared" si="4"/>
        <v>5622400</v>
      </c>
      <c r="E16" s="80">
        <f t="shared" ref="E16:H16" si="5">IF(LEFT(D15,9)="Compliant",E13,MIN(E13,D19))</f>
        <v>6920572</v>
      </c>
      <c r="F16" s="80">
        <f t="shared" si="5"/>
        <v>8650715</v>
      </c>
      <c r="G16" s="80">
        <f t="shared" si="5"/>
        <v>9198593.617</v>
      </c>
      <c r="H16" s="80">
        <f t="shared" si="5"/>
        <v>9781171.212</v>
      </c>
    </row>
    <row r="17" ht="14.25" customHeight="1">
      <c r="B17" s="104" t="s">
        <v>274</v>
      </c>
      <c r="C17" s="39"/>
      <c r="D17" s="39"/>
      <c r="E17" s="39"/>
      <c r="F17" s="39"/>
      <c r="G17" s="39"/>
      <c r="H17" s="40"/>
    </row>
    <row r="18" ht="18.0" customHeight="1">
      <c r="B18" s="55" t="s">
        <v>284</v>
      </c>
      <c r="C18" s="56">
        <f>'Carbon-Allowed Capacity'!C36</f>
        <v>5020000</v>
      </c>
      <c r="D18" s="56">
        <f>'Carbon-Allowed Capacity'!D36</f>
        <v>9100807.202</v>
      </c>
      <c r="E18" s="56">
        <f>'Carbon-Allowed Capacity'!E36</f>
        <v>11910584.02</v>
      </c>
      <c r="F18" s="56">
        <f>'Carbon-Allowed Capacity'!F36</f>
        <v>9358316.016</v>
      </c>
      <c r="G18" s="56">
        <f>'Carbon-Allowed Capacity'!G36</f>
        <v>7656804.013</v>
      </c>
      <c r="H18" s="56">
        <f>'Carbon-Allowed Capacity'!H36</f>
        <v>6125443.21</v>
      </c>
    </row>
    <row r="19" ht="18.0" customHeight="1">
      <c r="B19" s="78" t="s">
        <v>354</v>
      </c>
      <c r="C19" s="79">
        <f>'Sales Forecast &amp; Case 2A KPI'!C21</f>
        <v>5020000</v>
      </c>
      <c r="D19" s="79">
        <f t="shared" ref="D19:H19" si="6">MIN(D16,D18)</f>
        <v>5622400</v>
      </c>
      <c r="E19" s="79">
        <f t="shared" si="6"/>
        <v>6920572</v>
      </c>
      <c r="F19" s="79">
        <f t="shared" si="6"/>
        <v>8650715</v>
      </c>
      <c r="G19" s="79">
        <f t="shared" si="6"/>
        <v>7656804.013</v>
      </c>
      <c r="H19" s="79">
        <f t="shared" si="6"/>
        <v>6125443.21</v>
      </c>
    </row>
    <row r="20" ht="33.0" customHeight="1">
      <c r="B20" s="78" t="s">
        <v>355</v>
      </c>
      <c r="C20" s="135">
        <f t="shared" ref="C20:H20" si="7">C19/C11</f>
        <v>1</v>
      </c>
      <c r="D20" s="135">
        <f t="shared" si="7"/>
        <v>0.9180327869</v>
      </c>
      <c r="E20" s="135">
        <f t="shared" si="7"/>
        <v>0.904</v>
      </c>
      <c r="F20" s="135">
        <f t="shared" si="7"/>
        <v>0.8828125</v>
      </c>
      <c r="G20" s="135">
        <f t="shared" si="7"/>
        <v>0.7348430178</v>
      </c>
      <c r="H20" s="135">
        <f t="shared" si="7"/>
        <v>0.5528599507</v>
      </c>
    </row>
    <row r="21" ht="18.0" customHeight="1">
      <c r="B21" s="55" t="s">
        <v>356</v>
      </c>
      <c r="C21" s="138" t="s">
        <v>357</v>
      </c>
      <c r="D21" s="138" t="str">
        <f t="shared" ref="D21:H21" si="8">IF(D19&lt;D16-0.5,"Carbon capacity",IF(D16&lt;D13-0.5,"ESG gate","Demand"))</f>
        <v>Demand</v>
      </c>
      <c r="E21" s="138" t="str">
        <f t="shared" si="8"/>
        <v>Demand</v>
      </c>
      <c r="F21" s="138" t="str">
        <f t="shared" si="8"/>
        <v>Demand</v>
      </c>
      <c r="G21" s="138" t="str">
        <f t="shared" si="8"/>
        <v>Carbon capacity</v>
      </c>
      <c r="H21" s="138" t="str">
        <f t="shared" si="8"/>
        <v>Carbon capacity</v>
      </c>
    </row>
    <row r="22" ht="18.0" customHeight="1">
      <c r="B22" s="55" t="s">
        <v>358</v>
      </c>
      <c r="C22" s="70">
        <f t="shared" ref="C22:H22" si="9">C19/C18</f>
        <v>1</v>
      </c>
      <c r="D22" s="70">
        <f t="shared" si="9"/>
        <v>0.6177913536</v>
      </c>
      <c r="E22" s="70">
        <f t="shared" si="9"/>
        <v>0.581043884</v>
      </c>
      <c r="F22" s="70">
        <f t="shared" si="9"/>
        <v>0.9243879973</v>
      </c>
      <c r="G22" s="70">
        <f t="shared" si="9"/>
        <v>1</v>
      </c>
      <c r="H22" s="70">
        <f t="shared" si="9"/>
        <v>1</v>
      </c>
    </row>
    <row r="23" ht="14.25" customHeight="1">
      <c r="B23" s="104" t="s">
        <v>359</v>
      </c>
      <c r="C23" s="39"/>
      <c r="D23" s="39"/>
      <c r="E23" s="39"/>
      <c r="F23" s="39"/>
      <c r="G23" s="39"/>
      <c r="H23" s="40"/>
    </row>
    <row r="24" ht="18.0" customHeight="1">
      <c r="B24" s="55" t="s">
        <v>360</v>
      </c>
      <c r="C24" s="80">
        <f t="shared" ref="C24:H24" si="10">C11-C13</f>
        <v>0</v>
      </c>
      <c r="D24" s="80">
        <f t="shared" si="10"/>
        <v>502000</v>
      </c>
      <c r="E24" s="80">
        <f t="shared" si="10"/>
        <v>734928</v>
      </c>
      <c r="F24" s="80">
        <f t="shared" si="10"/>
        <v>1148325</v>
      </c>
      <c r="G24" s="80">
        <f t="shared" si="10"/>
        <v>1221052.25</v>
      </c>
      <c r="H24" s="80">
        <f t="shared" si="10"/>
        <v>1298385.559</v>
      </c>
    </row>
    <row r="25" ht="18.0" customHeight="1">
      <c r="B25" s="55" t="s">
        <v>361</v>
      </c>
      <c r="C25" s="80">
        <f t="shared" ref="C25:H25" si="11">C16-C19</f>
        <v>0</v>
      </c>
      <c r="D25" s="80">
        <f t="shared" si="11"/>
        <v>0</v>
      </c>
      <c r="E25" s="80">
        <f t="shared" si="11"/>
        <v>0</v>
      </c>
      <c r="F25" s="80">
        <f t="shared" si="11"/>
        <v>0</v>
      </c>
      <c r="G25" s="80">
        <f t="shared" si="11"/>
        <v>1541789.604</v>
      </c>
      <c r="H25" s="80">
        <f t="shared" si="11"/>
        <v>3655728.002</v>
      </c>
    </row>
    <row r="26" ht="18.0" customHeight="1">
      <c r="B26" s="55" t="s">
        <v>362</v>
      </c>
      <c r="C26" s="70"/>
      <c r="D26" s="70">
        <f t="shared" ref="D26:H26" si="12">D19/C19-1</f>
        <v>0.12</v>
      </c>
      <c r="E26" s="70">
        <f t="shared" si="12"/>
        <v>0.2308928571</v>
      </c>
      <c r="F26" s="70">
        <f t="shared" si="12"/>
        <v>0.25</v>
      </c>
      <c r="G26" s="70">
        <f t="shared" si="12"/>
        <v>-0.1148935073</v>
      </c>
      <c r="H26" s="70">
        <f t="shared" si="12"/>
        <v>-0.2</v>
      </c>
    </row>
    <row r="27" ht="18.0" customHeight="1">
      <c r="B27" s="55" t="s">
        <v>363</v>
      </c>
      <c r="C27" s="81">
        <f>C19/'Sales Forecast &amp; Case 2A KPI'!$C$21</f>
        <v>1</v>
      </c>
      <c r="D27" s="81">
        <f>D19/'Sales Forecast &amp; Case 2A KPI'!$C$21</f>
        <v>1.12</v>
      </c>
      <c r="E27" s="81">
        <f>E19/'Sales Forecast &amp; Case 2A KPI'!$C$21</f>
        <v>1.3786</v>
      </c>
      <c r="F27" s="81">
        <f>F19/'Sales Forecast &amp; Case 2A KPI'!$C$21</f>
        <v>1.72325</v>
      </c>
      <c r="G27" s="81">
        <f>G19/'Sales Forecast &amp; Case 2A KPI'!$C$21</f>
        <v>1.525259764</v>
      </c>
      <c r="H27" s="81">
        <f>H19/'Sales Forecast &amp; Case 2A KPI'!$C$21</f>
        <v>1.220207811</v>
      </c>
    </row>
    <row r="28" ht="14.25" customHeight="1"/>
    <row r="29" ht="21.75" customHeight="1">
      <c r="B29" s="103" t="s">
        <v>364</v>
      </c>
      <c r="C29" s="4"/>
      <c r="D29" s="4"/>
      <c r="E29" s="4"/>
      <c r="F29" s="4"/>
      <c r="G29" s="4"/>
      <c r="H29" s="4"/>
      <c r="I29" s="4"/>
      <c r="J29" s="4"/>
      <c r="K29" s="4"/>
      <c r="L29" s="4"/>
      <c r="M29" s="4"/>
      <c r="N29" s="4"/>
      <c r="O29" s="6"/>
    </row>
    <row r="30" ht="21.75" customHeight="1">
      <c r="B30" s="51" t="s">
        <v>0</v>
      </c>
      <c r="C30" s="51" t="s">
        <v>164</v>
      </c>
      <c r="D30" s="51" t="s">
        <v>165</v>
      </c>
      <c r="E30" s="51" t="s">
        <v>166</v>
      </c>
      <c r="F30" s="51" t="s">
        <v>167</v>
      </c>
      <c r="G30" s="51" t="s">
        <v>248</v>
      </c>
      <c r="H30" s="51" t="s">
        <v>251</v>
      </c>
      <c r="J30" s="83" t="s">
        <v>365</v>
      </c>
      <c r="K30" s="84"/>
      <c r="L30" s="84"/>
      <c r="M30" s="84"/>
      <c r="N30" s="84"/>
      <c r="O30" s="85"/>
    </row>
    <row r="31" ht="14.25" customHeight="1">
      <c r="B31" s="104" t="s">
        <v>366</v>
      </c>
      <c r="C31" s="39"/>
      <c r="D31" s="39"/>
      <c r="E31" s="39"/>
      <c r="F31" s="39"/>
      <c r="G31" s="39"/>
      <c r="H31" s="40"/>
      <c r="J31" s="86" t="str">
        <f>"1. ESG milestones and commercial risk. Potential orders are released only as TEXIN delivers its roadmap (Sales Forecast D7-D9), and compliance is verified after each year (Emission Target B18-B19). The share at risk is set by the case's own"&amp;" erosion rate, giving CR of "&amp;TEXT(D42,"0.00%")&amp;", "&amp;TEXT(E42,"0.00%")&amp;" and "&amp;TEXT(F42,"0.00%")&amp;" for 2027-2029; the haircut grows as targets become harder (Moderate, Challenging, High)."</f>
        <v>1. ESG milestones and commercial risk. Potential orders are released only as TEXIN delivers its roadmap (Sales Forecast D7-D9), and compliance is verified after each year (Emission Target B18-B19). The share at risk is set by the case's own erosion rate, giving CR of 91.80%, 90.40% and 88.28% for 2027-2029; the haircut grows as targets become harder (Moderate, Challenging, High).</v>
      </c>
      <c r="K31" s="87"/>
      <c r="L31" s="87"/>
      <c r="M31" s="87"/>
      <c r="N31" s="87"/>
      <c r="O31" s="88"/>
    </row>
    <row r="32" ht="18.0" customHeight="1">
      <c r="B32" s="55" t="s">
        <v>387</v>
      </c>
      <c r="C32" s="56">
        <f>'Sales Forecast &amp; Case 2A KPI'!C21</f>
        <v>5020000</v>
      </c>
      <c r="D32" s="56">
        <f>'Sales Forecast &amp; Case 2A KPI'!D21</f>
        <v>6124400</v>
      </c>
      <c r="E32" s="56">
        <f>'Sales Forecast &amp; Case 2A KPI'!E21</f>
        <v>7655500</v>
      </c>
      <c r="F32" s="56">
        <f>'Sales Forecast &amp; Case 2A KPI'!F21</f>
        <v>9799040</v>
      </c>
      <c r="G32" s="16" t="s">
        <v>174</v>
      </c>
      <c r="H32" s="16" t="s">
        <v>174</v>
      </c>
      <c r="J32" s="89"/>
      <c r="O32" s="90"/>
    </row>
    <row r="33" ht="69.0" customHeight="1">
      <c r="B33" s="55" t="s">
        <v>389</v>
      </c>
      <c r="C33" s="67"/>
      <c r="D33" s="67">
        <f>'Sales Forecast &amp; Case 2A KPI'!B7</f>
        <v>0.22</v>
      </c>
      <c r="E33" s="67">
        <f>'Sales Forecast &amp; Case 2A KPI'!B8</f>
        <v>0.25</v>
      </c>
      <c r="F33" s="67">
        <f>'Sales Forecast &amp; Case 2A KPI'!B9</f>
        <v>0.28</v>
      </c>
      <c r="G33" s="67"/>
      <c r="H33" s="67"/>
      <c r="J33" s="93"/>
      <c r="K33" s="94"/>
      <c r="L33" s="94"/>
      <c r="M33" s="94"/>
      <c r="N33" s="94"/>
      <c r="O33" s="95"/>
    </row>
    <row r="34" ht="18.0" customHeight="1">
      <c r="B34" s="55" t="s">
        <v>390</v>
      </c>
      <c r="C34" s="67"/>
      <c r="D34" s="67">
        <f>'Sales Forecast &amp; Case 2A KPI'!B10</f>
        <v>-0.1</v>
      </c>
      <c r="E34" s="67">
        <f>'Sales Forecast &amp; Case 2A KPI'!B11</f>
        <v>-0.12</v>
      </c>
      <c r="F34" s="67">
        <f>'Sales Forecast &amp; Case 2A KPI'!B12</f>
        <v>-0.15</v>
      </c>
      <c r="G34" s="67"/>
      <c r="H34" s="67"/>
      <c r="J34" s="86" t="str">
        <f>"2. Capacity. The carbon-allowed capacity at the case design mix (~78% biomass) exceeds risk-adjusted demand in 2027-2029, so realized sales equal risk-adjusted demand: "&amp;TEXT(D19/1000000,"0.00")&amp;"M, "&amp;TEXT(E19/1000000,"0.00")&amp;"M and "&amp;TEXT(F19/1000000,"0.00")&amp;"M pcs. Task 1 confirms CO2e stays below both caps, including an 8-week commissioning slip in 2027 (R14)."</f>
        <v>2. Capacity. The carbon-allowed capacity at the case design mix (~78% biomass) exceeds risk-adjusted demand in 2027-2029, so realized sales equal risk-adjusted demand: 5.62M, 6.92M and 8.65M pcs. Task 1 confirms CO2e stays below both caps, including an 8-week commissioning slip in 2027 (R14).</v>
      </c>
      <c r="K34" s="87"/>
      <c r="L34" s="87"/>
      <c r="M34" s="87"/>
      <c r="N34" s="87"/>
      <c r="O34" s="88"/>
    </row>
    <row r="35" ht="18.0" customHeight="1">
      <c r="B35" s="55" t="s">
        <v>396</v>
      </c>
      <c r="C35" s="56">
        <f>'Sales Forecast &amp; Case 2A KPI'!C21</f>
        <v>5020000</v>
      </c>
      <c r="D35" s="56">
        <f>'Sales Forecast &amp; Case 2A KPI'!G21</f>
        <v>4518000</v>
      </c>
      <c r="E35" s="56">
        <f>'Sales Forecast &amp; Case 2A KPI'!H21</f>
        <v>3975840</v>
      </c>
      <c r="F35" s="56">
        <f>'Sales Forecast &amp; Case 2A KPI'!I21</f>
        <v>3379464</v>
      </c>
      <c r="G35" s="56"/>
      <c r="H35" s="56"/>
      <c r="J35" s="89"/>
      <c r="O35" s="90"/>
    </row>
    <row r="36" ht="48.75" customHeight="1">
      <c r="B36" s="55" t="s">
        <v>399</v>
      </c>
      <c r="C36" s="143" t="str">
        <f>'Emission Target'!I6</f>
        <v>Baseline</v>
      </c>
      <c r="D36" s="143" t="str">
        <f>'Emission Target'!I7</f>
        <v>Moderate</v>
      </c>
      <c r="E36" s="143" t="str">
        <f>'Emission Target'!I8</f>
        <v>Challenging</v>
      </c>
      <c r="F36" s="143" t="str">
        <f>'Emission Target'!I9</f>
        <v>High</v>
      </c>
      <c r="G36" s="143" t="str">
        <f>'Emission Target'!I10</f>
        <v>High</v>
      </c>
      <c r="H36" s="143" t="str">
        <f>'Emission Target'!I11</f>
        <v>Stretch/target state</v>
      </c>
      <c r="J36" s="93"/>
      <c r="K36" s="94"/>
      <c r="L36" s="94"/>
      <c r="M36" s="94"/>
      <c r="N36" s="94"/>
      <c r="O36" s="95"/>
    </row>
    <row r="37" ht="57.75" customHeight="1">
      <c r="B37" s="55" t="s">
        <v>400</v>
      </c>
      <c r="C37" s="143" t="str">
        <f>'Emission Target'!H6</f>
        <v>Baseline year</v>
      </c>
      <c r="D37" s="143" t="str">
        <f>'Emission Target'!H7</f>
        <v>Corrective action plan; new allocation may be held</v>
      </c>
      <c r="E37" s="143" t="str">
        <f>'Emission Target'!H8</f>
        <v>Buyer may freeze incremental order allocation</v>
      </c>
      <c r="F37" s="143" t="str">
        <f>'Emission Target'!H9</f>
        <v>Risk of sourcing reallocation to compliant suppliers</v>
      </c>
      <c r="G37" s="143" t="str">
        <f>'Emission Target'!H10</f>
        <v>Reduced preferred-supplier status/allocation</v>
      </c>
      <c r="H37" s="143" t="str">
        <f>'Emission Target'!H11</f>
        <v>Roadmap failure; material risk of order reallocation</v>
      </c>
      <c r="J37" s="86" t="str">
        <f>"3. 2030-2031 forecast. Orders grow with the market component only ("&amp;TEXT(G49,"0.00%")&amp;" a year), not with the 22-28% reallocation phase (Sales Forecast B34), and CR is held at the 2029 level. Forecast demand is "&amp;TEXT(G13/1000000,"0.00")&amp;"M and "&amp;TEXT(H13/1000000,"0.00")&amp;"M pcs."</f>
        <v>3. 2030-2031 forecast. Orders grow with the market component only (6.33% a year), not with the 22-28% reallocation phase (Sales Forecast B34), and CR is held at the 2029 level. Forecast demand is 9.20M and 9.78M pcs.</v>
      </c>
      <c r="K37" s="87"/>
      <c r="L37" s="87"/>
      <c r="M37" s="87"/>
      <c r="N37" s="87"/>
      <c r="O37" s="88"/>
    </row>
    <row r="38" ht="14.25" customHeight="1">
      <c r="B38" s="104" t="s">
        <v>401</v>
      </c>
      <c r="C38" s="39"/>
      <c r="D38" s="39"/>
      <c r="E38" s="39"/>
      <c r="F38" s="39"/>
      <c r="G38" s="39"/>
      <c r="H38" s="40"/>
      <c r="J38" s="93"/>
      <c r="K38" s="94"/>
      <c r="L38" s="94"/>
      <c r="M38" s="94"/>
      <c r="N38" s="94"/>
      <c r="O38" s="95"/>
    </row>
    <row r="39" ht="18.0" customHeight="1">
      <c r="B39" s="55" t="s">
        <v>402</v>
      </c>
      <c r="C39" s="144"/>
      <c r="D39" s="144">
        <f t="shared" ref="D39:F39" si="13">1+D33</f>
        <v>1.22</v>
      </c>
      <c r="E39" s="144">
        <f t="shared" si="13"/>
        <v>1.25</v>
      </c>
      <c r="F39" s="144">
        <f t="shared" si="13"/>
        <v>1.28</v>
      </c>
      <c r="G39" s="144"/>
      <c r="H39" s="144"/>
      <c r="J39" s="86" t="str">
        <f>"4. Carbon limit after 2029. The caps tighten faster than the fuel mix improves, so carbon capacity binds: realized sales are "&amp;TEXT(G19/1000000,"0.00")&amp;"M (2030F) and "&amp;TEXT(H19/1000000,"0.00")&amp;"M pcs (2031F), leaving "&amp;TEXT((G25+H25)/1000000,"0.00")&amp;"M pcs of demand unserved. Raising biomass above the design mix or cutting heat per piece are the growth levers for Task 5."</f>
        <v>4. Carbon limit after 2029. The caps tighten faster than the fuel mix improves, so carbon capacity binds: realized sales are 7.66M (2030F) and 6.13M pcs (2031F), leaving 5.20M pcs of demand unserved. Raising biomass above the design mix or cutting heat per piece are the growth levers for Task 5.</v>
      </c>
      <c r="K39" s="87"/>
      <c r="L39" s="87"/>
      <c r="M39" s="87"/>
      <c r="N39" s="87"/>
      <c r="O39" s="88"/>
    </row>
    <row r="40" ht="67.5" customHeight="1">
      <c r="B40" s="55" t="s">
        <v>403</v>
      </c>
      <c r="C40" s="70"/>
      <c r="D40" s="70">
        <f t="shared" ref="D40:F40" si="14">ABS(D34)</f>
        <v>0.1</v>
      </c>
      <c r="E40" s="70">
        <f t="shared" si="14"/>
        <v>0.12</v>
      </c>
      <c r="F40" s="70">
        <f t="shared" si="14"/>
        <v>0.15</v>
      </c>
      <c r="G40" s="70"/>
      <c r="H40" s="70"/>
      <c r="J40" s="93"/>
      <c r="K40" s="94"/>
      <c r="L40" s="94"/>
      <c r="M40" s="94"/>
      <c r="N40" s="94"/>
      <c r="O40" s="95"/>
    </row>
    <row r="41" ht="33.0" customHeight="1">
      <c r="B41" s="55" t="s">
        <v>404</v>
      </c>
      <c r="C41" s="144"/>
      <c r="D41" s="144">
        <f t="shared" ref="D41:F41" si="15">D39-D40</f>
        <v>1.12</v>
      </c>
      <c r="E41" s="144">
        <f t="shared" si="15"/>
        <v>1.13</v>
      </c>
      <c r="F41" s="144">
        <f t="shared" si="15"/>
        <v>1.13</v>
      </c>
      <c r="G41" s="144"/>
      <c r="H41" s="144"/>
    </row>
    <row r="42" ht="18.0" customHeight="1">
      <c r="B42" s="78" t="s">
        <v>410</v>
      </c>
      <c r="C42" s="135">
        <v>1.0</v>
      </c>
      <c r="D42" s="135">
        <f t="shared" ref="D42:F42" si="16">D41/D39</f>
        <v>0.9180327869</v>
      </c>
      <c r="E42" s="135">
        <f t="shared" si="16"/>
        <v>0.904</v>
      </c>
      <c r="F42" s="135">
        <f t="shared" si="16"/>
        <v>0.8828125</v>
      </c>
      <c r="G42" s="135"/>
      <c r="H42" s="135"/>
    </row>
    <row r="43" ht="18.0" customHeight="1">
      <c r="B43" s="55" t="s">
        <v>411</v>
      </c>
      <c r="C43" s="114">
        <f t="shared" ref="C43:F43" si="17">1-C42</f>
        <v>0</v>
      </c>
      <c r="D43" s="114">
        <f t="shared" si="17"/>
        <v>0.08196721311</v>
      </c>
      <c r="E43" s="114">
        <f t="shared" si="17"/>
        <v>0.096</v>
      </c>
      <c r="F43" s="114">
        <f t="shared" si="17"/>
        <v>0.1171875</v>
      </c>
      <c r="G43" s="114"/>
      <c r="H43" s="114"/>
    </row>
    <row r="44" ht="14.25" customHeight="1"/>
    <row r="45" ht="21.75" customHeight="1">
      <c r="B45" s="103" t="s">
        <v>413</v>
      </c>
      <c r="C45" s="4"/>
      <c r="D45" s="4"/>
      <c r="E45" s="4"/>
      <c r="F45" s="4"/>
      <c r="G45" s="4"/>
      <c r="H45" s="4"/>
      <c r="I45" s="4"/>
      <c r="J45" s="4"/>
      <c r="K45" s="4"/>
      <c r="L45" s="4"/>
      <c r="M45" s="4"/>
      <c r="N45" s="4"/>
      <c r="O45" s="6"/>
    </row>
    <row r="46" ht="21.75" customHeight="1">
      <c r="B46" s="51" t="s">
        <v>0</v>
      </c>
      <c r="C46" s="51" t="s">
        <v>164</v>
      </c>
      <c r="D46" s="51" t="s">
        <v>165</v>
      </c>
      <c r="E46" s="51" t="s">
        <v>166</v>
      </c>
      <c r="F46" s="51" t="s">
        <v>167</v>
      </c>
      <c r="G46" s="51" t="s">
        <v>248</v>
      </c>
      <c r="H46" s="51" t="s">
        <v>251</v>
      </c>
      <c r="J46" s="145" t="s">
        <v>415</v>
      </c>
      <c r="K46" s="84"/>
      <c r="L46" s="84"/>
      <c r="M46" s="84"/>
      <c r="N46" s="84"/>
      <c r="O46" s="85"/>
    </row>
    <row r="47" ht="18.0" customHeight="1">
      <c r="B47" s="55" t="s">
        <v>419</v>
      </c>
      <c r="C47" s="70"/>
      <c r="D47" s="70">
        <f t="shared" ref="D47:F47" si="18">(D33+D34)/2</f>
        <v>0.06</v>
      </c>
      <c r="E47" s="70">
        <f t="shared" si="18"/>
        <v>0.065</v>
      </c>
      <c r="F47" s="70">
        <f t="shared" si="18"/>
        <v>0.065</v>
      </c>
      <c r="G47" s="70">
        <f t="shared" ref="G47:H47" si="19">AVERAGE($D$47:$F$47)</f>
        <v>0.06333333333</v>
      </c>
      <c r="H47" s="70">
        <f t="shared" si="19"/>
        <v>0.06333333333</v>
      </c>
      <c r="J47" s="86" t="s">
        <v>421</v>
      </c>
      <c r="K47" s="87"/>
      <c r="L47" s="87"/>
      <c r="M47" s="87"/>
      <c r="N47" s="87"/>
      <c r="O47" s="88"/>
    </row>
    <row r="48" ht="18.0" customHeight="1">
      <c r="B48" s="55" t="s">
        <v>422</v>
      </c>
      <c r="C48" s="70"/>
      <c r="D48" s="70">
        <f t="shared" ref="D48:F48" si="20">(D33-D34)/2</f>
        <v>0.16</v>
      </c>
      <c r="E48" s="70">
        <f t="shared" si="20"/>
        <v>0.185</v>
      </c>
      <c r="F48" s="70">
        <f t="shared" si="20"/>
        <v>0.215</v>
      </c>
      <c r="G48" s="71">
        <v>0.0</v>
      </c>
      <c r="H48" s="71">
        <v>0.0</v>
      </c>
      <c r="J48" s="89"/>
      <c r="O48" s="90"/>
    </row>
    <row r="49" ht="18.0" customHeight="1">
      <c r="B49" s="55" t="s">
        <v>423</v>
      </c>
      <c r="C49" s="75"/>
      <c r="D49" s="75"/>
      <c r="E49" s="75"/>
      <c r="F49" s="75"/>
      <c r="G49" s="75">
        <f t="shared" ref="G49:H49" si="21">G47+G48</f>
        <v>0.06333333333</v>
      </c>
      <c r="H49" s="75">
        <f t="shared" si="21"/>
        <v>0.06333333333</v>
      </c>
      <c r="J49" s="93"/>
      <c r="K49" s="94"/>
      <c r="L49" s="94"/>
      <c r="M49" s="94"/>
      <c r="N49" s="94"/>
      <c r="O49" s="95"/>
    </row>
    <row r="50" ht="18.0" customHeight="1">
      <c r="B50" s="73" t="s">
        <v>424</v>
      </c>
      <c r="C50" s="134">
        <f t="shared" ref="C50:F50" si="22">C32</f>
        <v>5020000</v>
      </c>
      <c r="D50" s="134">
        <f t="shared" si="22"/>
        <v>6124400</v>
      </c>
      <c r="E50" s="134">
        <f t="shared" si="22"/>
        <v>7655500</v>
      </c>
      <c r="F50" s="134">
        <f t="shared" si="22"/>
        <v>9799040</v>
      </c>
      <c r="G50" s="134">
        <f t="shared" ref="G50:H50" si="23">F50*(1+G49)</f>
        <v>10419645.87</v>
      </c>
      <c r="H50" s="134">
        <f t="shared" si="23"/>
        <v>11079556.77</v>
      </c>
      <c r="J50" s="86" t="s">
        <v>425</v>
      </c>
      <c r="K50" s="87"/>
      <c r="L50" s="87"/>
      <c r="M50" s="87"/>
      <c r="N50" s="87"/>
      <c r="O50" s="88"/>
    </row>
    <row r="51" ht="51.0" customHeight="1">
      <c r="B51" s="55" t="s">
        <v>258</v>
      </c>
      <c r="C51" s="114">
        <f t="shared" ref="C51:F51" si="24">C42</f>
        <v>1</v>
      </c>
      <c r="D51" s="114">
        <f t="shared" si="24"/>
        <v>0.9180327869</v>
      </c>
      <c r="E51" s="114">
        <f t="shared" si="24"/>
        <v>0.904</v>
      </c>
      <c r="F51" s="114">
        <f t="shared" si="24"/>
        <v>0.8828125</v>
      </c>
      <c r="G51" s="114">
        <f t="shared" ref="G51:H51" si="25">$F$42</f>
        <v>0.8828125</v>
      </c>
      <c r="H51" s="114">
        <f t="shared" si="25"/>
        <v>0.8828125</v>
      </c>
      <c r="J51" s="93"/>
      <c r="K51" s="94"/>
      <c r="L51" s="94"/>
      <c r="M51" s="94"/>
      <c r="N51" s="94"/>
      <c r="O51" s="95"/>
    </row>
    <row r="52" ht="14.25" customHeight="1"/>
    <row r="53" ht="21.75" customHeight="1">
      <c r="B53" s="103" t="s">
        <v>426</v>
      </c>
      <c r="C53" s="4"/>
      <c r="D53" s="4"/>
      <c r="E53" s="4"/>
      <c r="F53" s="4"/>
      <c r="G53" s="4"/>
      <c r="H53" s="4"/>
      <c r="I53" s="4"/>
      <c r="J53" s="4"/>
      <c r="K53" s="4"/>
      <c r="L53" s="4"/>
      <c r="M53" s="4"/>
      <c r="N53" s="4"/>
      <c r="O53" s="6"/>
    </row>
    <row r="54" ht="21.75" customHeight="1">
      <c r="B54" s="124" t="s">
        <v>428</v>
      </c>
      <c r="C54" s="52" t="s">
        <v>429</v>
      </c>
      <c r="D54" s="39"/>
      <c r="E54" s="39"/>
      <c r="F54" s="39"/>
      <c r="G54" s="39"/>
      <c r="H54" s="40"/>
      <c r="J54" s="52" t="s">
        <v>430</v>
      </c>
      <c r="K54" s="39"/>
      <c r="L54" s="39"/>
      <c r="M54" s="39"/>
      <c r="N54" s="39"/>
      <c r="O54" s="40"/>
    </row>
    <row r="55" ht="33.0" customHeight="1">
      <c r="B55" s="73" t="s">
        <v>431</v>
      </c>
      <c r="C55" s="141" t="s">
        <v>432</v>
      </c>
      <c r="D55" s="39"/>
      <c r="E55" s="39"/>
      <c r="F55" s="39"/>
      <c r="G55" s="39"/>
      <c r="H55" s="40"/>
      <c r="J55" s="146" t="s">
        <v>433</v>
      </c>
      <c r="K55" s="39"/>
      <c r="L55" s="39"/>
      <c r="M55" s="39"/>
      <c r="N55" s="39"/>
      <c r="O55" s="40"/>
    </row>
    <row r="56" ht="47.25" customHeight="1">
      <c r="B56" s="73" t="s">
        <v>434</v>
      </c>
      <c r="C56" s="141" t="s">
        <v>435</v>
      </c>
      <c r="D56" s="39"/>
      <c r="E56" s="39"/>
      <c r="F56" s="39"/>
      <c r="G56" s="39"/>
      <c r="H56" s="40"/>
      <c r="J56" s="146" t="s">
        <v>438</v>
      </c>
      <c r="K56" s="39"/>
      <c r="L56" s="39"/>
      <c r="M56" s="39"/>
      <c r="N56" s="39"/>
      <c r="O56" s="40"/>
    </row>
    <row r="57" ht="33.0" customHeight="1">
      <c r="B57" s="73" t="s">
        <v>439</v>
      </c>
      <c r="C57" s="141" t="s">
        <v>440</v>
      </c>
      <c r="D57" s="39"/>
      <c r="E57" s="39"/>
      <c r="F57" s="39"/>
      <c r="G57" s="39"/>
      <c r="H57" s="40"/>
      <c r="J57" s="146" t="s">
        <v>441</v>
      </c>
      <c r="K57" s="39"/>
      <c r="L57" s="39"/>
      <c r="M57" s="39"/>
      <c r="N57" s="39"/>
      <c r="O57" s="40"/>
    </row>
    <row r="58" ht="33.0" customHeight="1">
      <c r="B58" s="73" t="s">
        <v>442</v>
      </c>
      <c r="C58" s="141" t="s">
        <v>443</v>
      </c>
      <c r="D58" s="39"/>
      <c r="E58" s="39"/>
      <c r="F58" s="39"/>
      <c r="G58" s="39"/>
      <c r="H58" s="40"/>
      <c r="J58" s="146" t="s">
        <v>444</v>
      </c>
      <c r="K58" s="39"/>
      <c r="L58" s="39"/>
      <c r="M58" s="39"/>
      <c r="N58" s="39"/>
      <c r="O58" s="40"/>
    </row>
    <row r="59" ht="33.0" customHeight="1">
      <c r="B59" s="73" t="s">
        <v>445</v>
      </c>
      <c r="C59" s="141" t="s">
        <v>446</v>
      </c>
      <c r="D59" s="39"/>
      <c r="E59" s="39"/>
      <c r="F59" s="39"/>
      <c r="G59" s="39"/>
      <c r="H59" s="40"/>
      <c r="J59" s="146" t="s">
        <v>447</v>
      </c>
      <c r="K59" s="39"/>
      <c r="L59" s="39"/>
      <c r="M59" s="39"/>
      <c r="N59" s="39"/>
      <c r="O59" s="40"/>
    </row>
    <row r="60" ht="47.25" customHeight="1">
      <c r="B60" s="73" t="s">
        <v>448</v>
      </c>
      <c r="C60" s="141" t="s">
        <v>449</v>
      </c>
      <c r="D60" s="39"/>
      <c r="E60" s="39"/>
      <c r="F60" s="39"/>
      <c r="G60" s="39"/>
      <c r="H60" s="40"/>
      <c r="J60" s="146" t="s">
        <v>450</v>
      </c>
      <c r="K60" s="39"/>
      <c r="L60" s="39"/>
      <c r="M60" s="39"/>
      <c r="N60" s="39"/>
      <c r="O60" s="40"/>
    </row>
    <row r="61" ht="33.0" customHeight="1">
      <c r="B61" s="73" t="s">
        <v>451</v>
      </c>
      <c r="C61" s="141" t="s">
        <v>452</v>
      </c>
      <c r="D61" s="39"/>
      <c r="E61" s="39"/>
      <c r="F61" s="39"/>
      <c r="G61" s="39"/>
      <c r="H61" s="40"/>
      <c r="J61" s="146" t="s">
        <v>453</v>
      </c>
      <c r="K61" s="39"/>
      <c r="L61" s="39"/>
      <c r="M61" s="39"/>
      <c r="N61" s="39"/>
      <c r="O61" s="40"/>
    </row>
    <row r="62" ht="33.0" customHeight="1">
      <c r="B62" s="73" t="s">
        <v>454</v>
      </c>
      <c r="C62" s="141" t="s">
        <v>455</v>
      </c>
      <c r="D62" s="39"/>
      <c r="E62" s="39"/>
      <c r="F62" s="39"/>
      <c r="G62" s="39"/>
      <c r="H62" s="40"/>
      <c r="J62" s="146" t="s">
        <v>456</v>
      </c>
      <c r="K62" s="39"/>
      <c r="L62" s="39"/>
      <c r="M62" s="39"/>
      <c r="N62" s="39"/>
      <c r="O62" s="40"/>
    </row>
    <row r="63" ht="14.25" customHeight="1"/>
    <row r="64" ht="14.25" customHeight="1">
      <c r="B64" s="83" t="s">
        <v>469</v>
      </c>
      <c r="C64" s="84"/>
      <c r="D64" s="84"/>
      <c r="E64" s="84"/>
      <c r="F64" s="84"/>
      <c r="G64" s="84"/>
      <c r="H64" s="84"/>
      <c r="I64" s="84"/>
      <c r="J64" s="84"/>
      <c r="K64" s="84"/>
      <c r="L64" s="84"/>
      <c r="M64" s="84"/>
      <c r="N64" s="84"/>
      <c r="O64" s="85"/>
    </row>
    <row r="65" ht="16.5" customHeight="1">
      <c r="B65" s="148" t="s">
        <v>470</v>
      </c>
      <c r="C65" s="84"/>
      <c r="D65" s="84"/>
      <c r="E65" s="84"/>
      <c r="F65" s="84"/>
      <c r="G65" s="84"/>
      <c r="H65" s="84"/>
      <c r="I65" s="84"/>
      <c r="J65" s="84"/>
      <c r="K65" s="84"/>
      <c r="L65" s="84"/>
      <c r="M65" s="84"/>
      <c r="N65" s="84"/>
      <c r="O65" s="85"/>
    </row>
    <row r="66" ht="16.5" customHeight="1">
      <c r="B66" s="148" t="s">
        <v>471</v>
      </c>
      <c r="C66" s="84"/>
      <c r="D66" s="84"/>
      <c r="E66" s="84"/>
      <c r="F66" s="84"/>
      <c r="G66" s="84"/>
      <c r="H66" s="84"/>
      <c r="I66" s="84"/>
      <c r="J66" s="84"/>
      <c r="K66" s="84"/>
      <c r="L66" s="84"/>
      <c r="M66" s="84"/>
      <c r="N66" s="84"/>
      <c r="O66" s="85"/>
    </row>
    <row r="67" ht="16.5" customHeight="1">
      <c r="B67" s="149" t="s">
        <v>472</v>
      </c>
      <c r="C67" s="84"/>
      <c r="D67" s="84"/>
      <c r="E67" s="84"/>
      <c r="F67" s="84"/>
      <c r="G67" s="84"/>
      <c r="H67" s="84"/>
      <c r="I67" s="84"/>
      <c r="J67" s="84"/>
      <c r="K67" s="84"/>
      <c r="L67" s="84"/>
      <c r="M67" s="84"/>
      <c r="N67" s="84"/>
      <c r="O67" s="85"/>
    </row>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0">
    <mergeCell ref="C60:H60"/>
    <mergeCell ref="C61:H61"/>
    <mergeCell ref="C62:H62"/>
    <mergeCell ref="J61:O61"/>
    <mergeCell ref="J62:O62"/>
    <mergeCell ref="B64:O64"/>
    <mergeCell ref="B65:O65"/>
    <mergeCell ref="B66:O66"/>
    <mergeCell ref="B67:O67"/>
    <mergeCell ref="C57:H57"/>
    <mergeCell ref="J57:O57"/>
    <mergeCell ref="C58:H58"/>
    <mergeCell ref="J58:O58"/>
    <mergeCell ref="C59:H59"/>
    <mergeCell ref="J59:O59"/>
    <mergeCell ref="J60:O60"/>
    <mergeCell ref="B1:O1"/>
    <mergeCell ref="B2:O2"/>
    <mergeCell ref="E4:F4"/>
    <mergeCell ref="G4:H4"/>
    <mergeCell ref="J4:K4"/>
    <mergeCell ref="L4:M4"/>
    <mergeCell ref="N4:O4"/>
    <mergeCell ref="C4:D4"/>
    <mergeCell ref="C5:D5"/>
    <mergeCell ref="E5:F5"/>
    <mergeCell ref="G5:H5"/>
    <mergeCell ref="J5:K5"/>
    <mergeCell ref="L5:M5"/>
    <mergeCell ref="N5:O5"/>
    <mergeCell ref="C6:D6"/>
    <mergeCell ref="E6:F6"/>
    <mergeCell ref="G6:H6"/>
    <mergeCell ref="J6:K6"/>
    <mergeCell ref="L6:M6"/>
    <mergeCell ref="N6:O6"/>
    <mergeCell ref="B8:O8"/>
    <mergeCell ref="B10:H10"/>
    <mergeCell ref="B14:H14"/>
    <mergeCell ref="B17:H17"/>
    <mergeCell ref="B23:H23"/>
    <mergeCell ref="B29:O29"/>
    <mergeCell ref="J30:O30"/>
    <mergeCell ref="B31:H31"/>
    <mergeCell ref="J31:O33"/>
    <mergeCell ref="J34:O36"/>
    <mergeCell ref="J37:O38"/>
    <mergeCell ref="B38:H38"/>
    <mergeCell ref="J39:O40"/>
    <mergeCell ref="B45:O45"/>
    <mergeCell ref="J46:O46"/>
    <mergeCell ref="J55:O55"/>
    <mergeCell ref="J56:O56"/>
    <mergeCell ref="J47:O49"/>
    <mergeCell ref="J50:O51"/>
    <mergeCell ref="B53:O53"/>
    <mergeCell ref="C54:H54"/>
    <mergeCell ref="J54:O54"/>
    <mergeCell ref="C55:H55"/>
    <mergeCell ref="C56:H56"/>
  </mergeCells>
  <hyperlinks>
    <hyperlink r:id="rId1" ref="J46"/>
    <hyperlink r:id="rId2" ref="B67"/>
  </hyperlinks>
  <printOptions/>
  <pageMargins bottom="0.5" footer="0.0" header="0.0" left="0.4" right="0.4" top="0.5"/>
  <pageSetup fitToHeight="0" paperSize="9"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pageSetUpPr fitToPage="1"/>
  </sheetPr>
  <sheetViews>
    <sheetView showGridLines="0" workbookViewId="0"/>
  </sheetViews>
  <sheetFormatPr customHeight="1" defaultColWidth="14.43" defaultRowHeight="15.0"/>
  <cols>
    <col customWidth="1" min="1" max="1" width="2.0"/>
    <col customWidth="1" min="2" max="2" width="53.29"/>
    <col customWidth="1" min="3" max="3" width="17.0"/>
    <col customWidth="1" min="4" max="4" width="17.71"/>
    <col customWidth="1" min="5" max="8" width="17.0"/>
    <col customWidth="1" min="9" max="9" width="2.43"/>
    <col customWidth="1" min="10" max="13" width="13.0"/>
    <col customWidth="1" min="14" max="14" width="17.0"/>
    <col customWidth="1" min="15" max="26" width="8.71"/>
  </cols>
  <sheetData>
    <row r="1" ht="30.0" customHeight="1">
      <c r="A1" s="37"/>
      <c r="B1" s="38" t="s">
        <v>196</v>
      </c>
      <c r="C1" s="39"/>
      <c r="D1" s="39"/>
      <c r="E1" s="39"/>
      <c r="F1" s="39"/>
      <c r="G1" s="39"/>
      <c r="H1" s="39"/>
      <c r="I1" s="39"/>
      <c r="J1" s="39"/>
      <c r="K1" s="39"/>
      <c r="L1" s="39"/>
      <c r="M1" s="39"/>
      <c r="N1" s="40"/>
    </row>
    <row r="2" ht="30.0" customHeight="1">
      <c r="B2" s="41" t="s">
        <v>197</v>
      </c>
      <c r="C2" s="39"/>
      <c r="D2" s="39"/>
      <c r="E2" s="39"/>
      <c r="F2" s="39"/>
      <c r="G2" s="39"/>
      <c r="H2" s="39"/>
      <c r="I2" s="39"/>
      <c r="J2" s="39"/>
      <c r="K2" s="39"/>
      <c r="L2" s="39"/>
      <c r="M2" s="39"/>
      <c r="N2" s="40"/>
    </row>
    <row r="3" ht="14.25" customHeight="1"/>
    <row r="4" ht="25.5" customHeight="1">
      <c r="B4" s="42" t="s">
        <v>198</v>
      </c>
      <c r="C4" s="43" t="s">
        <v>199</v>
      </c>
      <c r="D4" s="40"/>
      <c r="E4" s="43" t="s">
        <v>200</v>
      </c>
      <c r="F4" s="40"/>
      <c r="G4" s="43" t="s">
        <v>201</v>
      </c>
      <c r="H4" s="40"/>
      <c r="J4" s="43" t="s">
        <v>202</v>
      </c>
      <c r="K4" s="40"/>
      <c r="L4" s="43" t="s">
        <v>203</v>
      </c>
      <c r="M4" s="39"/>
      <c r="N4" s="40"/>
    </row>
    <row r="5" ht="33.75" customHeight="1">
      <c r="B5" s="97" t="str">
        <f>COUNTIF(D34:H34,"PASS")&amp;" / 5 years PASS"</f>
        <v>5 / 5 years PASS</v>
      </c>
      <c r="C5" s="98">
        <f>MIN(D30:H30)</f>
        <v>0.08582987908</v>
      </c>
      <c r="D5" s="40"/>
      <c r="E5" s="99">
        <f>SUM(D29:H29)</f>
        <v>12255574.34</v>
      </c>
      <c r="F5" s="40"/>
      <c r="G5" s="100" t="str">
        <f>TEXT(MIN(D36:H36),"0.0%")&amp;" to "&amp;TEXT(MAX(D36:H36),"0.0%")</f>
        <v>1.9% to 3.2%</v>
      </c>
      <c r="H5" s="40"/>
      <c r="J5" s="99">
        <f>H78</f>
        <v>11584555.93</v>
      </c>
      <c r="K5" s="40"/>
      <c r="L5" s="46">
        <f>MIN(D37:H37)</f>
        <v>0.1126376366</v>
      </c>
      <c r="M5" s="39"/>
      <c r="N5" s="40"/>
    </row>
    <row r="6" ht="30.0" customHeight="1">
      <c r="B6" s="101" t="s">
        <v>204</v>
      </c>
      <c r="C6" s="102" t="str">
        <f t="array" ref="C6">"in "&amp;INDEX(D9:H9,MATCH(MIN(D30:H30),D30:H30,0))&amp;"; 2026 actual "&amp;TEXT(C30,"0.0%")</f>
        <v>in 2031; 2026 actual 10.8%</v>
      </c>
      <c r="D6" s="40"/>
      <c r="E6" s="102" t="str">
        <f>"Peak "&amp;TEXT(MAX(D29:H29)/1000000,"0.00")&amp;"M in 2029"</f>
        <v>Peak 3.06M in 2029</v>
      </c>
      <c r="F6" s="40"/>
      <c r="G6" s="102" t="s">
        <v>205</v>
      </c>
      <c r="H6" s="40"/>
      <c r="J6" s="102" t="s">
        <v>206</v>
      </c>
      <c r="K6" s="40"/>
      <c r="L6" s="102" t="s">
        <v>207</v>
      </c>
      <c r="M6" s="39"/>
      <c r="N6" s="40"/>
    </row>
    <row r="7" ht="14.25" customHeight="1"/>
    <row r="8" ht="21.75" customHeight="1">
      <c r="B8" s="103" t="s">
        <v>208</v>
      </c>
      <c r="C8" s="4"/>
      <c r="D8" s="4"/>
      <c r="E8" s="4"/>
      <c r="F8" s="4"/>
      <c r="G8" s="4"/>
      <c r="H8" s="4"/>
      <c r="I8" s="4"/>
      <c r="J8" s="4"/>
      <c r="K8" s="4"/>
      <c r="L8" s="4"/>
      <c r="M8" s="4"/>
      <c r="N8" s="6"/>
    </row>
    <row r="9" ht="21.75" customHeight="1">
      <c r="B9" s="51" t="s">
        <v>209</v>
      </c>
      <c r="C9" s="51" t="s">
        <v>210</v>
      </c>
      <c r="D9" s="51" t="s">
        <v>165</v>
      </c>
      <c r="E9" s="51" t="s">
        <v>166</v>
      </c>
      <c r="F9" s="51" t="s">
        <v>167</v>
      </c>
      <c r="G9" s="51" t="s">
        <v>168</v>
      </c>
      <c r="H9" s="51" t="s">
        <v>169</v>
      </c>
      <c r="J9" s="83" t="s">
        <v>125</v>
      </c>
      <c r="K9" s="84"/>
      <c r="L9" s="84"/>
      <c r="M9" s="84"/>
      <c r="N9" s="85"/>
    </row>
    <row r="10" ht="14.25" customHeight="1">
      <c r="B10" s="104" t="s">
        <v>211</v>
      </c>
      <c r="C10" s="39"/>
      <c r="D10" s="39"/>
      <c r="E10" s="39"/>
      <c r="F10" s="39"/>
      <c r="G10" s="39"/>
      <c r="H10" s="40"/>
      <c r="J10" s="86" t="str">
        <f t="array" ref="J10">"1. All five years pass. NPM is "&amp;TEXT(D30,"0.0%")&amp;", "&amp;TEXT(E30,"0.0%")&amp;", "&amp;TEXT(F30,"0.0%")&amp;", "&amp;TEXT(G30,"0.0%")&amp;" and "&amp;TEXT(H30,"0.0%")&amp;" for 2027–2031 against floors of −10%, −8% and &gt;0%; the thinnest headroom is "&amp;TEXT(MIN(D35:H35),"0.0%")&amp;" in "&amp;INDEX($D$9:$H$9,MATCH(MIN(D35:H35),D35:H35,0))&amp;"."</f>
        <v>1. All five years pass. NPM is 9.5%, 9.3%, 9.2%, 9.0% and 8.6% for 2027–2031 against floors of −10%, −8% and &gt;0%; the thinnest headroom is 8.6% in 2031.</v>
      </c>
      <c r="K10" s="87"/>
      <c r="L10" s="87"/>
      <c r="M10" s="87"/>
      <c r="N10" s="88"/>
    </row>
    <row r="11" ht="18.0" customHeight="1">
      <c r="B11" s="55" t="s">
        <v>222</v>
      </c>
      <c r="C11" s="56">
        <f>'Sales Forecast &amp; Case 2A KPI'!C21</f>
        <v>5020000</v>
      </c>
      <c r="D11" s="56">
        <f>'Sales Forecast &amp; Case 2A KPI'!B42</f>
        <v>5622400</v>
      </c>
      <c r="E11" s="56">
        <f>'Sales Forecast &amp; Case 2A KPI'!C42</f>
        <v>6920572</v>
      </c>
      <c r="F11" s="56">
        <f>'Sales Forecast &amp; Case 2A KPI'!D42</f>
        <v>8650715</v>
      </c>
      <c r="G11" s="56">
        <f>'Sales Forecast &amp; Case 2A KPI'!E42</f>
        <v>7656804.013</v>
      </c>
      <c r="H11" s="56">
        <f>'Sales Forecast &amp; Case 2A KPI'!F42</f>
        <v>6125443.21</v>
      </c>
      <c r="J11" s="89"/>
      <c r="N11" s="90"/>
    </row>
    <row r="12" ht="18.0" customHeight="1">
      <c r="B12" s="55" t="s">
        <v>233</v>
      </c>
      <c r="C12" s="108">
        <f>'Sales Forecast &amp; Case 2A KPI'!B43</f>
        <v>3.841486828</v>
      </c>
      <c r="D12" s="108">
        <f>'Sales Forecast &amp; Case 2A KPI'!B43</f>
        <v>3.841486828</v>
      </c>
      <c r="E12" s="108">
        <f>'Sales Forecast &amp; Case 2A KPI'!C43</f>
        <v>3.841486828</v>
      </c>
      <c r="F12" s="108">
        <f>'Sales Forecast &amp; Case 2A KPI'!D43</f>
        <v>3.841486828</v>
      </c>
      <c r="G12" s="108">
        <f>'Sales Forecast &amp; Case 2A KPI'!E43</f>
        <v>3.841486828</v>
      </c>
      <c r="H12" s="108">
        <f>'Sales Forecast &amp; Case 2A KPI'!F43</f>
        <v>3.841486828</v>
      </c>
      <c r="J12" s="89"/>
      <c r="N12" s="90"/>
    </row>
    <row r="13" ht="18.0" customHeight="1">
      <c r="B13" s="55" t="s">
        <v>235</v>
      </c>
      <c r="C13" s="108">
        <f>'Sales Forecast &amp; Case 2A KPI'!B45</f>
        <v>3.052481315</v>
      </c>
      <c r="D13" s="108">
        <f>'Sales Forecast &amp; Case 2A KPI'!B45</f>
        <v>3.052481315</v>
      </c>
      <c r="E13" s="108">
        <f>'Sales Forecast &amp; Case 2A KPI'!C45</f>
        <v>3.052481315</v>
      </c>
      <c r="F13" s="108">
        <f>'Sales Forecast &amp; Case 2A KPI'!D45</f>
        <v>3.052481315</v>
      </c>
      <c r="G13" s="108">
        <f>'Sales Forecast &amp; Case 2A KPI'!E45</f>
        <v>3.052481315</v>
      </c>
      <c r="H13" s="108">
        <f>'Sales Forecast &amp; Case 2A KPI'!F45</f>
        <v>3.052481315</v>
      </c>
      <c r="J13" s="89"/>
      <c r="N13" s="90"/>
    </row>
    <row r="14" ht="14.25" customHeight="1">
      <c r="B14" s="104" t="s">
        <v>236</v>
      </c>
      <c r="C14" s="39"/>
      <c r="D14" s="39"/>
      <c r="E14" s="39"/>
      <c r="F14" s="39"/>
      <c r="G14" s="39"/>
      <c r="H14" s="40"/>
      <c r="J14" s="89"/>
      <c r="N14" s="90"/>
    </row>
    <row r="15" ht="18.0" customHeight="1">
      <c r="B15" s="73" t="s">
        <v>237</v>
      </c>
      <c r="C15" s="109">
        <f>'EXW Price'!B13</f>
        <v>19284263.88</v>
      </c>
      <c r="D15" s="110">
        <f t="shared" ref="D15:H15" si="1">D11*D12</f>
        <v>21598375.54</v>
      </c>
      <c r="E15" s="110">
        <f t="shared" si="1"/>
        <v>26585286.18</v>
      </c>
      <c r="F15" s="110">
        <f t="shared" si="1"/>
        <v>33231607.73</v>
      </c>
      <c r="G15" s="110">
        <f t="shared" si="1"/>
        <v>29413511.76</v>
      </c>
      <c r="H15" s="110">
        <f t="shared" si="1"/>
        <v>23530809.41</v>
      </c>
      <c r="J15" s="89"/>
      <c r="N15" s="90"/>
    </row>
    <row r="16" ht="18.0" customHeight="1">
      <c r="B16" s="55" t="s">
        <v>238</v>
      </c>
      <c r="C16" s="109">
        <f>SUM(COGS!M14:M18)</f>
        <v>15323456.2</v>
      </c>
      <c r="D16" s="111">
        <f t="shared" ref="D16:H16" si="2">D11*D13</f>
        <v>17162270.94</v>
      </c>
      <c r="E16" s="111">
        <f t="shared" si="2"/>
        <v>21124916.72</v>
      </c>
      <c r="F16" s="111">
        <f t="shared" si="2"/>
        <v>26406145.9</v>
      </c>
      <c r="G16" s="111">
        <f t="shared" si="2"/>
        <v>23372251.18</v>
      </c>
      <c r="H16" s="111">
        <f t="shared" si="2"/>
        <v>18697800.94</v>
      </c>
      <c r="J16" s="93"/>
      <c r="K16" s="94"/>
      <c r="L16" s="94"/>
      <c r="M16" s="94"/>
      <c r="N16" s="95"/>
    </row>
    <row r="17" ht="18.0" customHeight="1">
      <c r="B17" s="73" t="s">
        <v>240</v>
      </c>
      <c r="C17" s="110">
        <f t="shared" ref="C17:H17" si="3">C15-C16</f>
        <v>3960807.679</v>
      </c>
      <c r="D17" s="110">
        <f t="shared" si="3"/>
        <v>4436104.6</v>
      </c>
      <c r="E17" s="110">
        <f t="shared" si="3"/>
        <v>5460369.466</v>
      </c>
      <c r="F17" s="110">
        <f t="shared" si="3"/>
        <v>6825461.832</v>
      </c>
      <c r="G17" s="110">
        <f t="shared" si="3"/>
        <v>6041260.584</v>
      </c>
      <c r="H17" s="110">
        <f t="shared" si="3"/>
        <v>4833008.467</v>
      </c>
      <c r="J17" s="86" t="str">
        <f>"2. The roadmap costs "&amp;TEXT(MIN(D36:H36),"0.0%")&amp;" to "&amp;TEXT(MAX(D36:H36),"0.0%")&amp;" of revenue a year against a base gross margin of "&amp;TEXT(D18,"0.0%")&amp;". Volume growth pays for it: net profit rises from USD "&amp;TEXT(C29/1000000,"0.00")&amp;"M (2026) to USD "&amp;TEXT(F29/1000000,"0.00")&amp;"M (2029); NPM dips by about "&amp;TEXT((C30-D30)*100,"0.0")&amp;" points in the conversion year."</f>
        <v>2. The roadmap costs 1.9% to 3.2% of revenue a year against a base gross margin of 20.5%. Volume growth pays for it: net profit rises from USD 2.09M (2026) to USD 3.06M (2029); NPM dips by about 1.3 points in the conversion year.</v>
      </c>
      <c r="K17" s="87"/>
      <c r="L17" s="87"/>
      <c r="M17" s="87"/>
      <c r="N17" s="88"/>
    </row>
    <row r="18" ht="18.0" customHeight="1">
      <c r="B18" s="122" t="s">
        <v>302</v>
      </c>
      <c r="C18" s="128">
        <f t="shared" ref="C18:H18" si="4">C17/C15</f>
        <v>0.2053906596</v>
      </c>
      <c r="D18" s="128">
        <f t="shared" si="4"/>
        <v>0.2053906596</v>
      </c>
      <c r="E18" s="128">
        <f t="shared" si="4"/>
        <v>0.2053906596</v>
      </c>
      <c r="F18" s="128">
        <f t="shared" si="4"/>
        <v>0.2053906596</v>
      </c>
      <c r="G18" s="128">
        <f t="shared" si="4"/>
        <v>0.2053906596</v>
      </c>
      <c r="H18" s="128">
        <f t="shared" si="4"/>
        <v>0.2053906596</v>
      </c>
      <c r="J18" s="89"/>
      <c r="N18" s="90"/>
    </row>
    <row r="19" ht="18.0" customHeight="1">
      <c r="B19" s="55" t="s">
        <v>307</v>
      </c>
      <c r="C19" s="111">
        <f t="shared" ref="C19:H19" si="5">C67</f>
        <v>0</v>
      </c>
      <c r="D19" s="111">
        <f t="shared" si="5"/>
        <v>231580.2746</v>
      </c>
      <c r="E19" s="111">
        <f t="shared" si="5"/>
        <v>487729.7333</v>
      </c>
      <c r="F19" s="111">
        <f t="shared" si="5"/>
        <v>798515.0784</v>
      </c>
      <c r="G19" s="111">
        <f t="shared" si="5"/>
        <v>706910.776</v>
      </c>
      <c r="H19" s="111">
        <f t="shared" si="5"/>
        <v>568740.9247</v>
      </c>
      <c r="J19" s="89"/>
      <c r="N19" s="90"/>
    </row>
    <row r="20" ht="18.0" customHeight="1">
      <c r="B20" s="55" t="s">
        <v>311</v>
      </c>
      <c r="C20" s="111">
        <v>0.0</v>
      </c>
      <c r="D20" s="109">
        <f>'Task 1_ESG Roadmap'!D94</f>
        <v>179300</v>
      </c>
      <c r="E20" s="109">
        <f>'Task 1_ESG Roadmap'!E94</f>
        <v>188100</v>
      </c>
      <c r="F20" s="109">
        <f>'Task 1_ESG Roadmap'!F94</f>
        <v>188100</v>
      </c>
      <c r="G20" s="109">
        <f>'Task 1_ESG Roadmap'!G94</f>
        <v>188100</v>
      </c>
      <c r="H20" s="109">
        <f>'Task 1_ESG Roadmap'!H94</f>
        <v>188100</v>
      </c>
      <c r="J20" s="89"/>
      <c r="N20" s="90"/>
    </row>
    <row r="21" ht="18.0" customHeight="1">
      <c r="B21" s="73" t="s">
        <v>312</v>
      </c>
      <c r="C21" s="110">
        <f t="shared" ref="C21:H21" si="6">C17-C19-C20</f>
        <v>3960807.679</v>
      </c>
      <c r="D21" s="110">
        <f t="shared" si="6"/>
        <v>4025224.326</v>
      </c>
      <c r="E21" s="110">
        <f t="shared" si="6"/>
        <v>4784539.733</v>
      </c>
      <c r="F21" s="110">
        <f t="shared" si="6"/>
        <v>5838846.754</v>
      </c>
      <c r="G21" s="110">
        <f t="shared" si="6"/>
        <v>5146249.808</v>
      </c>
      <c r="H21" s="110">
        <f t="shared" si="6"/>
        <v>4076167.542</v>
      </c>
      <c r="J21" s="89"/>
      <c r="N21" s="90"/>
    </row>
    <row r="22" ht="18.0" customHeight="1">
      <c r="B22" s="55" t="s">
        <v>313</v>
      </c>
      <c r="C22" s="111">
        <f t="shared" ref="C22:H22" si="7">$C$95*C15</f>
        <v>482106.597</v>
      </c>
      <c r="D22" s="111">
        <f t="shared" si="7"/>
        <v>539959.3886</v>
      </c>
      <c r="E22" s="111">
        <f t="shared" si="7"/>
        <v>664632.1546</v>
      </c>
      <c r="F22" s="111">
        <f t="shared" si="7"/>
        <v>830790.1932</v>
      </c>
      <c r="G22" s="111">
        <f t="shared" si="7"/>
        <v>735337.7941</v>
      </c>
      <c r="H22" s="111">
        <f t="shared" si="7"/>
        <v>588270.2353</v>
      </c>
      <c r="J22" s="89"/>
      <c r="N22" s="90"/>
    </row>
    <row r="23" ht="18.0" customHeight="1">
      <c r="B23" s="55" t="s">
        <v>315</v>
      </c>
      <c r="C23" s="111">
        <f t="shared" ref="C23:H23" si="8">$C$96*$C$15*($C$97+(1-$C$97)*C15/$C$15)</f>
        <v>867791.8745</v>
      </c>
      <c r="D23" s="111">
        <f t="shared" si="8"/>
        <v>919859.387</v>
      </c>
      <c r="E23" s="111">
        <f t="shared" si="8"/>
        <v>1032064.876</v>
      </c>
      <c r="F23" s="111">
        <f t="shared" si="8"/>
        <v>1181607.111</v>
      </c>
      <c r="G23" s="111">
        <f t="shared" si="8"/>
        <v>1095699.952</v>
      </c>
      <c r="H23" s="111">
        <f t="shared" si="8"/>
        <v>963339.149</v>
      </c>
      <c r="J23" s="93"/>
      <c r="K23" s="94"/>
      <c r="L23" s="94"/>
      <c r="M23" s="94"/>
      <c r="N23" s="95"/>
    </row>
    <row r="24" ht="18.0" customHeight="1">
      <c r="B24" s="55" t="s">
        <v>320</v>
      </c>
      <c r="C24" s="111">
        <f t="shared" ref="C24:H24" si="9">C22+C23</f>
        <v>1349898.472</v>
      </c>
      <c r="D24" s="111">
        <f t="shared" si="9"/>
        <v>1459818.776</v>
      </c>
      <c r="E24" s="111">
        <f t="shared" si="9"/>
        <v>1696697.031</v>
      </c>
      <c r="F24" s="111">
        <f t="shared" si="9"/>
        <v>2012397.304</v>
      </c>
      <c r="G24" s="111">
        <f t="shared" si="9"/>
        <v>1831037.746</v>
      </c>
      <c r="H24" s="111">
        <f t="shared" si="9"/>
        <v>1551609.384</v>
      </c>
      <c r="J24" s="86" t="str">
        <f>"3. Margin of safety: the EXW price would have to fall at least "&amp;TEXT(MIN(D37:H37),"0.0%")&amp;" before any floor is breached, several times the 1.5–2.5% ESG premium (EXW Price F6:F10). The P&amp;L floors do not bind; carbon and capacity do (Tasks 1–2)."</f>
        <v>3. Margin of safety: the EXW price would have to fall at least 11.3% before any floor is breached, several times the 1.5–2.5% ESG premium (EXW Price F6:F10). The P&amp;L floors do not bind; carbon and capacity do (Tasks 1–2).</v>
      </c>
      <c r="K24" s="87"/>
      <c r="L24" s="87"/>
      <c r="M24" s="87"/>
      <c r="N24" s="88"/>
    </row>
    <row r="25" ht="18.0" customHeight="1">
      <c r="B25" s="73" t="s">
        <v>326</v>
      </c>
      <c r="C25" s="110">
        <f t="shared" ref="C25:H25" si="10">C21-C24</f>
        <v>2610909.207</v>
      </c>
      <c r="D25" s="110">
        <f t="shared" si="10"/>
        <v>2565405.55</v>
      </c>
      <c r="E25" s="110">
        <f t="shared" si="10"/>
        <v>3087842.702</v>
      </c>
      <c r="F25" s="110">
        <f t="shared" si="10"/>
        <v>3826449.45</v>
      </c>
      <c r="G25" s="110">
        <f t="shared" si="10"/>
        <v>3315212.062</v>
      </c>
      <c r="H25" s="110">
        <f t="shared" si="10"/>
        <v>2524558.158</v>
      </c>
      <c r="J25" s="89"/>
      <c r="N25" s="90"/>
    </row>
    <row r="26" ht="18.0" customHeight="1">
      <c r="B26" s="55" t="s">
        <v>327</v>
      </c>
      <c r="C26" s="111">
        <f t="shared" ref="C26:H26" si="11">$C$99</f>
        <v>0</v>
      </c>
      <c r="D26" s="111">
        <f t="shared" si="11"/>
        <v>0</v>
      </c>
      <c r="E26" s="111">
        <f t="shared" si="11"/>
        <v>0</v>
      </c>
      <c r="F26" s="111">
        <f t="shared" si="11"/>
        <v>0</v>
      </c>
      <c r="G26" s="111">
        <f t="shared" si="11"/>
        <v>0</v>
      </c>
      <c r="H26" s="111">
        <f t="shared" si="11"/>
        <v>0</v>
      </c>
      <c r="J26" s="89"/>
      <c r="N26" s="90"/>
    </row>
    <row r="27" ht="18.0" customHeight="1">
      <c r="B27" s="55" t="s">
        <v>328</v>
      </c>
      <c r="C27" s="111">
        <f t="shared" ref="C27:H27" si="12">C25-C26</f>
        <v>2610909.207</v>
      </c>
      <c r="D27" s="111">
        <f t="shared" si="12"/>
        <v>2565405.55</v>
      </c>
      <c r="E27" s="111">
        <f t="shared" si="12"/>
        <v>3087842.702</v>
      </c>
      <c r="F27" s="111">
        <f t="shared" si="12"/>
        <v>3826449.45</v>
      </c>
      <c r="G27" s="111">
        <f t="shared" si="12"/>
        <v>3315212.062</v>
      </c>
      <c r="H27" s="111">
        <f t="shared" si="12"/>
        <v>2524558.158</v>
      </c>
      <c r="J27" s="89"/>
      <c r="N27" s="90"/>
    </row>
    <row r="28" ht="18.0" customHeight="1">
      <c r="B28" s="55" t="s">
        <v>329</v>
      </c>
      <c r="C28" s="111">
        <f t="shared" ref="C28:H28" si="13">MAX(0,C27)*$C$98</f>
        <v>522181.8415</v>
      </c>
      <c r="D28" s="111">
        <f t="shared" si="13"/>
        <v>513081.11</v>
      </c>
      <c r="E28" s="111">
        <f t="shared" si="13"/>
        <v>617568.5403</v>
      </c>
      <c r="F28" s="111">
        <f t="shared" si="13"/>
        <v>765289.8899</v>
      </c>
      <c r="G28" s="111">
        <f t="shared" si="13"/>
        <v>663042.4123</v>
      </c>
      <c r="H28" s="111">
        <f t="shared" si="13"/>
        <v>504911.6316</v>
      </c>
      <c r="J28" s="89"/>
      <c r="N28" s="90"/>
    </row>
    <row r="29" ht="18.0" customHeight="1">
      <c r="B29" s="78" t="s">
        <v>330</v>
      </c>
      <c r="C29" s="117">
        <f t="shared" ref="C29:H29" si="14">C27-C28</f>
        <v>2088727.366</v>
      </c>
      <c r="D29" s="117">
        <f t="shared" si="14"/>
        <v>2052324.44</v>
      </c>
      <c r="E29" s="117">
        <f t="shared" si="14"/>
        <v>2470274.161</v>
      </c>
      <c r="F29" s="117">
        <f t="shared" si="14"/>
        <v>3061159.56</v>
      </c>
      <c r="G29" s="117">
        <f t="shared" si="14"/>
        <v>2652169.649</v>
      </c>
      <c r="H29" s="117">
        <f t="shared" si="14"/>
        <v>2019646.526</v>
      </c>
      <c r="J29" s="89"/>
      <c r="N29" s="90"/>
    </row>
    <row r="30" ht="18.0" customHeight="1">
      <c r="B30" s="78" t="s">
        <v>331</v>
      </c>
      <c r="C30" s="135">
        <f t="shared" ref="C30:H30" si="15">C29/C15</f>
        <v>0.1083125277</v>
      </c>
      <c r="D30" s="135">
        <f t="shared" si="15"/>
        <v>0.09502216663</v>
      </c>
      <c r="E30" s="135">
        <f t="shared" si="15"/>
        <v>0.09291884783</v>
      </c>
      <c r="F30" s="135">
        <f t="shared" si="15"/>
        <v>0.09211590317</v>
      </c>
      <c r="G30" s="135">
        <f t="shared" si="15"/>
        <v>0.09016841207</v>
      </c>
      <c r="H30" s="135">
        <f t="shared" si="15"/>
        <v>0.08582987908</v>
      </c>
      <c r="J30" s="93"/>
      <c r="K30" s="94"/>
      <c r="L30" s="94"/>
      <c r="M30" s="94"/>
      <c r="N30" s="95"/>
    </row>
    <row r="31" ht="14.25" customHeight="1">
      <c r="B31" s="104" t="s">
        <v>332</v>
      </c>
      <c r="C31" s="39"/>
      <c r="D31" s="39"/>
      <c r="E31" s="39"/>
      <c r="F31" s="39"/>
      <c r="G31" s="39"/>
      <c r="H31" s="40"/>
      <c r="J31" s="86" t="str">
        <f>"4. Revenue falls in 2030–2031 (USD "&amp;TEXT(G15/1000000,"0.0")&amp;"M and "&amp;TEXT(H15/1000000,"0.0")&amp;"M) because Task 2 caps output at the carbon-allowed capacity of the 78% design mix; Task 5 tests a higher biomass share to hold the 2029 volume."</f>
        <v>4. Revenue falls in 2030–2031 (USD 29.4M and 23.5M) because Task 2 caps output at the carbon-allowed capacity of the 78% design mix; Task 5 tests a higher biomass share to hold the 2029 volume.</v>
      </c>
      <c r="K31" s="87"/>
      <c r="L31" s="87"/>
      <c r="M31" s="87"/>
      <c r="N31" s="88"/>
    </row>
    <row r="32" ht="18.0" customHeight="1">
      <c r="B32" s="55" t="s">
        <v>333</v>
      </c>
      <c r="C32" s="74" t="s">
        <v>174</v>
      </c>
      <c r="D32" s="136">
        <v>-0.1</v>
      </c>
      <c r="E32" s="136">
        <v>-0.08</v>
      </c>
      <c r="F32" s="136">
        <v>0.0</v>
      </c>
      <c r="G32" s="136">
        <v>0.0</v>
      </c>
      <c r="H32" s="136">
        <v>0.0</v>
      </c>
      <c r="J32" s="89"/>
      <c r="N32" s="90"/>
    </row>
    <row r="33" ht="33.0" customHeight="1">
      <c r="B33" s="55" t="s">
        <v>340</v>
      </c>
      <c r="C33" s="137"/>
      <c r="D33" s="137" t="s">
        <v>341</v>
      </c>
      <c r="E33" s="137" t="s">
        <v>341</v>
      </c>
      <c r="F33" s="137" t="s">
        <v>342</v>
      </c>
      <c r="G33" s="137" t="s">
        <v>342</v>
      </c>
      <c r="H33" s="137" t="s">
        <v>342</v>
      </c>
      <c r="J33" s="89"/>
      <c r="N33" s="90"/>
    </row>
    <row r="34" ht="18.0" customHeight="1">
      <c r="B34" s="73" t="s">
        <v>343</v>
      </c>
      <c r="C34" s="77"/>
      <c r="D34" s="77" t="str">
        <f t="shared" ref="D34:H34" si="16">IF(D33="≥",IF(D30&gt;=D32,"PASS","FAIL"),IF(AND(D30&gt;D32,D29&gt;0),"PASS","FAIL"))</f>
        <v>PASS</v>
      </c>
      <c r="E34" s="77" t="str">
        <f t="shared" si="16"/>
        <v>PASS</v>
      </c>
      <c r="F34" s="77" t="str">
        <f t="shared" si="16"/>
        <v>PASS</v>
      </c>
      <c r="G34" s="77" t="str">
        <f t="shared" si="16"/>
        <v>PASS</v>
      </c>
      <c r="H34" s="77" t="str">
        <f t="shared" si="16"/>
        <v>PASS</v>
      </c>
      <c r="J34" s="89"/>
      <c r="N34" s="90"/>
    </row>
    <row r="35" ht="18.0" customHeight="1">
      <c r="B35" s="55" t="s">
        <v>346</v>
      </c>
      <c r="C35" s="70"/>
      <c r="D35" s="70">
        <f t="shared" ref="D35:H35" si="17">D30-D32</f>
        <v>0.1950221666</v>
      </c>
      <c r="E35" s="70">
        <f t="shared" si="17"/>
        <v>0.1729188478</v>
      </c>
      <c r="F35" s="70">
        <f t="shared" si="17"/>
        <v>0.09211590317</v>
      </c>
      <c r="G35" s="70">
        <f t="shared" si="17"/>
        <v>0.09016841207</v>
      </c>
      <c r="H35" s="70">
        <f t="shared" si="17"/>
        <v>0.08582987908</v>
      </c>
      <c r="J35" s="89"/>
      <c r="N35" s="90"/>
    </row>
    <row r="36" ht="18.0" customHeight="1">
      <c r="B36" s="55" t="s">
        <v>348</v>
      </c>
      <c r="C36" s="70">
        <f t="shared" ref="C36:H36" si="18">(C19+C20)/C15</f>
        <v>0</v>
      </c>
      <c r="D36" s="70">
        <f t="shared" si="18"/>
        <v>0.01902366564</v>
      </c>
      <c r="E36" s="70">
        <f t="shared" si="18"/>
        <v>0.02542119459</v>
      </c>
      <c r="F36" s="70">
        <f t="shared" si="18"/>
        <v>0.02968905647</v>
      </c>
      <c r="G36" s="70">
        <f t="shared" si="18"/>
        <v>0.03042855893</v>
      </c>
      <c r="H36" s="70">
        <f t="shared" si="18"/>
        <v>0.03216382877</v>
      </c>
      <c r="J36" s="89"/>
      <c r="N36" s="90"/>
    </row>
    <row r="37" ht="18.0" customHeight="1">
      <c r="B37" s="55" t="s">
        <v>349</v>
      </c>
      <c r="C37" s="70"/>
      <c r="D37" s="70">
        <f t="shared" ref="D37:H37" si="19">(D27-D32*D15)/(D11*(1-$C$95-$C$96*(1-$C$97)-D32))/D12</f>
        <v>0.207864806</v>
      </c>
      <c r="E37" s="70">
        <f t="shared" si="19"/>
        <v>0.189974392</v>
      </c>
      <c r="F37" s="70">
        <f t="shared" si="19"/>
        <v>0.120887012</v>
      </c>
      <c r="G37" s="70">
        <f t="shared" si="19"/>
        <v>0.1183312494</v>
      </c>
      <c r="H37" s="70">
        <f t="shared" si="19"/>
        <v>0.1126376366</v>
      </c>
      <c r="J37" s="93"/>
      <c r="K37" s="94"/>
      <c r="L37" s="94"/>
      <c r="M37" s="94"/>
      <c r="N37" s="95"/>
    </row>
    <row r="38" ht="18.0" customHeight="1">
      <c r="B38" s="122" t="s">
        <v>350</v>
      </c>
      <c r="C38" s="77"/>
      <c r="D38" s="77" t="str">
        <f>IF(AND(ABS('Sales Forecast &amp; Case 2A KPI'!B54-D29)&lt;1,ABS('Sales Forecast &amp; Case 2A KPI'!B55-D30)&lt;0.0001),"OK","CHECK")</f>
        <v>OK</v>
      </c>
      <c r="E38" s="77" t="str">
        <f>IF(AND(ABS('Sales Forecast &amp; Case 2A KPI'!C54-E29)&lt;1,ABS('Sales Forecast &amp; Case 2A KPI'!C55-E30)&lt;0.0001),"OK","CHECK")</f>
        <v>OK</v>
      </c>
      <c r="F38" s="77" t="str">
        <f>IF(AND(ABS('Sales Forecast &amp; Case 2A KPI'!D54-F29)&lt;1,ABS('Sales Forecast &amp; Case 2A KPI'!D55-F30)&lt;0.0001),"OK","CHECK")</f>
        <v>OK</v>
      </c>
      <c r="G38" s="77" t="str">
        <f>IF(AND(ABS('Sales Forecast &amp; Case 2A KPI'!E54-G29)&lt;1,ABS('Sales Forecast &amp; Case 2A KPI'!E55-G30)&lt;0.0001),"OK","CHECK")</f>
        <v>OK</v>
      </c>
      <c r="H38" s="77" t="str">
        <f>IF(AND(ABS('Sales Forecast &amp; Case 2A KPI'!F54-H29)&lt;1,ABS('Sales Forecast &amp; Case 2A KPI'!F55-H30)&lt;0.0001),"OK","CHECK")</f>
        <v>OK</v>
      </c>
    </row>
    <row r="39" ht="14.25" customHeight="1"/>
    <row r="40" ht="21.75" customHeight="1">
      <c r="B40" s="103" t="s">
        <v>351</v>
      </c>
      <c r="C40" s="4"/>
      <c r="D40" s="4"/>
      <c r="E40" s="4"/>
      <c r="F40" s="4"/>
      <c r="G40" s="4"/>
      <c r="H40" s="4"/>
      <c r="I40" s="4"/>
      <c r="J40" s="4"/>
      <c r="K40" s="4"/>
      <c r="L40" s="4"/>
      <c r="M40" s="4"/>
      <c r="N40" s="6"/>
    </row>
    <row r="41" ht="21.75" customHeight="1">
      <c r="B41" s="51" t="s">
        <v>209</v>
      </c>
      <c r="C41" s="51" t="s">
        <v>210</v>
      </c>
      <c r="D41" s="51" t="s">
        <v>165</v>
      </c>
      <c r="E41" s="51" t="s">
        <v>166</v>
      </c>
      <c r="F41" s="51" t="s">
        <v>167</v>
      </c>
      <c r="G41" s="51" t="s">
        <v>168</v>
      </c>
      <c r="H41" s="51" t="s">
        <v>169</v>
      </c>
      <c r="J41" s="54" t="s">
        <v>367</v>
      </c>
      <c r="K41" s="39"/>
      <c r="L41" s="39"/>
      <c r="M41" s="39"/>
      <c r="N41" s="40"/>
    </row>
    <row r="42" ht="14.25" customHeight="1">
      <c r="B42" s="104" t="s">
        <v>368</v>
      </c>
      <c r="C42" s="39"/>
      <c r="D42" s="39"/>
      <c r="E42" s="39"/>
      <c r="F42" s="39"/>
      <c r="G42" s="39"/>
      <c r="H42" s="40"/>
      <c r="J42" s="141" t="s">
        <v>369</v>
      </c>
      <c r="K42" s="39"/>
      <c r="L42" s="39"/>
      <c r="M42" s="40"/>
      <c r="N42" s="80">
        <f>$C$84/'ESG_CAPEX OPEX'!$B$7</f>
        <v>110000</v>
      </c>
    </row>
    <row r="43" ht="18.0" customHeight="1">
      <c r="B43" s="55" t="s">
        <v>370</v>
      </c>
      <c r="C43" s="56">
        <f>'Task 1_ESG Roadmap'!C55</f>
        <v>300000</v>
      </c>
      <c r="D43" s="56">
        <f>'Task 1_ESG Roadmap'!D55</f>
        <v>336000</v>
      </c>
      <c r="E43" s="56">
        <f>'Task 1_ESG Roadmap'!E55</f>
        <v>413580</v>
      </c>
      <c r="F43" s="56">
        <f>'Task 1_ESG Roadmap'!F55</f>
        <v>516975</v>
      </c>
      <c r="G43" s="56">
        <f>'Task 1_ESG Roadmap'!G55</f>
        <v>457577.9291</v>
      </c>
      <c r="H43" s="56">
        <f>'Task 1_ESG Roadmap'!H55</f>
        <v>366062.3432</v>
      </c>
      <c r="J43" s="141" t="s">
        <v>372</v>
      </c>
      <c r="K43" s="39"/>
      <c r="L43" s="39"/>
      <c r="M43" s="40"/>
      <c r="N43" s="80">
        <f>'ESG_CAPEX OPEX'!B10/'ESG_CAPEX OPEX'!B8*$C$85+'ESG_CAPEX OPEX'!B11/'ESG_CAPEX OPEX'!B9*$C$86</f>
        <v>145312.5</v>
      </c>
    </row>
    <row r="44" ht="18.0" customHeight="1">
      <c r="B44" s="55" t="s">
        <v>172</v>
      </c>
      <c r="C44" s="67">
        <f>'Task 1_ESG Roadmap'!C61</f>
        <v>0</v>
      </c>
      <c r="D44" s="67">
        <f>'Task 1_ESG Roadmap'!D61</f>
        <v>0.7534246575</v>
      </c>
      <c r="E44" s="67">
        <f>'Task 1_ESG Roadmap'!E61</f>
        <v>1</v>
      </c>
      <c r="F44" s="67">
        <f>'Task 1_ESG Roadmap'!F61</f>
        <v>1</v>
      </c>
      <c r="G44" s="67">
        <f>'Task 1_ESG Roadmap'!G61</f>
        <v>1</v>
      </c>
      <c r="H44" s="67">
        <f>'Task 1_ESG Roadmap'!H61</f>
        <v>1</v>
      </c>
      <c r="J44" s="141" t="s">
        <v>375</v>
      </c>
      <c r="K44" s="39"/>
      <c r="L44" s="39"/>
      <c r="M44" s="40"/>
      <c r="N44" s="65">
        <f>'ESG_CAPEX OPEX'!B10/'ESG_CAPEX OPEX'!B8+'ESG_CAPEX OPEX'!B11/'ESG_CAPEX OPEX'!B9</f>
        <v>0.06041666667</v>
      </c>
    </row>
    <row r="45" ht="18.0" customHeight="1">
      <c r="B45" s="55" t="s">
        <v>177</v>
      </c>
      <c r="C45" s="67">
        <f>'Task 1_ESG Roadmap'!C65</f>
        <v>0</v>
      </c>
      <c r="D45" s="67">
        <f>'Task 1_ESG Roadmap'!D65</f>
        <v>0.3390410959</v>
      </c>
      <c r="E45" s="67">
        <f>'Task 1_ESG Roadmap'!E65</f>
        <v>0.6</v>
      </c>
      <c r="F45" s="67">
        <f>'Task 1_ESG Roadmap'!F65</f>
        <v>0.8</v>
      </c>
      <c r="G45" s="67">
        <f>'Task 1_ESG Roadmap'!G65</f>
        <v>0.8</v>
      </c>
      <c r="H45" s="67">
        <f>'Task 1_ESG Roadmap'!H65</f>
        <v>0.8</v>
      </c>
      <c r="J45" s="141" t="s">
        <v>377</v>
      </c>
      <c r="K45" s="39"/>
      <c r="L45" s="39"/>
      <c r="M45" s="40"/>
      <c r="N45" s="56">
        <f>'ESG_CAPEX OPEX'!B39/$C$89</f>
        <v>140000000</v>
      </c>
    </row>
    <row r="46" ht="18.0" customHeight="1">
      <c r="B46" s="55" t="s">
        <v>379</v>
      </c>
      <c r="C46" s="56">
        <f>'Task 1_ESG Roadmap'!C69</f>
        <v>12000</v>
      </c>
      <c r="D46" s="56">
        <f>'Task 1_ESG Roadmap'!D69</f>
        <v>8883.287671</v>
      </c>
      <c r="E46" s="56">
        <f>'Task 1_ESG Roadmap'!E69</f>
        <v>6617.28</v>
      </c>
      <c r="F46" s="56">
        <f>'Task 1_ESG Roadmap'!F69</f>
        <v>4135.8</v>
      </c>
      <c r="G46" s="56">
        <f>'Task 1_ESG Roadmap'!G69</f>
        <v>3660.623432</v>
      </c>
      <c r="H46" s="56">
        <f>'Task 1_ESG Roadmap'!H69</f>
        <v>2928.498746</v>
      </c>
      <c r="J46" s="141" t="s">
        <v>381</v>
      </c>
      <c r="K46" s="39"/>
      <c r="L46" s="39"/>
      <c r="M46" s="40"/>
      <c r="N46" s="56">
        <f>'ESG_CAPEX OPEX'!E35+'ESG_CAPEX OPEX'!E36</f>
        <v>18125</v>
      </c>
    </row>
    <row r="47" ht="18.0" customHeight="1">
      <c r="B47" s="55" t="s">
        <v>382</v>
      </c>
      <c r="C47" s="56">
        <f>'Task 1_ESG Roadmap'!C70</f>
        <v>0</v>
      </c>
      <c r="D47" s="56">
        <f>'Task 1_ESG Roadmap'!D70</f>
        <v>4983.90411</v>
      </c>
      <c r="E47" s="56">
        <f>'Task 1_ESG Roadmap'!E70</f>
        <v>10856.475</v>
      </c>
      <c r="F47" s="56">
        <f>'Task 1_ESG Roadmap'!F70</f>
        <v>18094.125</v>
      </c>
      <c r="G47" s="56">
        <f>'Task 1_ESG Roadmap'!G70</f>
        <v>16015.22752</v>
      </c>
      <c r="H47" s="56">
        <f>'Task 1_ESG Roadmap'!H70</f>
        <v>12812.18201</v>
      </c>
    </row>
    <row r="48" ht="18.0" customHeight="1">
      <c r="B48" s="55" t="s">
        <v>383</v>
      </c>
      <c r="C48" s="56">
        <f>'Task 1_ESG Roadmap'!C71</f>
        <v>0</v>
      </c>
      <c r="D48" s="56">
        <f>'Task 1_ESG Roadmap'!D71</f>
        <v>1898.630137</v>
      </c>
      <c r="E48" s="56">
        <f>'Task 1_ESG Roadmap'!E71</f>
        <v>4135.8</v>
      </c>
      <c r="F48" s="56">
        <f>'Task 1_ESG Roadmap'!F71</f>
        <v>6893</v>
      </c>
      <c r="G48" s="56">
        <f>'Task 1_ESG Roadmap'!G71</f>
        <v>6101.039054</v>
      </c>
      <c r="H48" s="56">
        <f>'Task 1_ESG Roadmap'!H71</f>
        <v>4880.831243</v>
      </c>
      <c r="J48" s="54" t="s">
        <v>384</v>
      </c>
      <c r="K48" s="39"/>
      <c r="L48" s="39"/>
      <c r="M48" s="39"/>
      <c r="N48" s="40"/>
    </row>
    <row r="49" ht="33.0" customHeight="1">
      <c r="B49" s="55" t="s">
        <v>385</v>
      </c>
      <c r="C49" s="80">
        <f>C43/'ESG_CAPEX OPEX'!$B$7</f>
        <v>12000</v>
      </c>
      <c r="D49" s="80">
        <f>D43/'ESG_CAPEX OPEX'!$B$7</f>
        <v>13440</v>
      </c>
      <c r="E49" s="80">
        <f>E43/'ESG_CAPEX OPEX'!$B$7</f>
        <v>16543.2</v>
      </c>
      <c r="F49" s="80">
        <f>F43/'ESG_CAPEX OPEX'!$B$7</f>
        <v>20679</v>
      </c>
      <c r="G49" s="80">
        <f>G43/'ESG_CAPEX OPEX'!$B$7</f>
        <v>18303.11716</v>
      </c>
      <c r="H49" s="80">
        <f>H43/'ESG_CAPEX OPEX'!$B$7</f>
        <v>14642.49373</v>
      </c>
      <c r="J49" s="141" t="s">
        <v>388</v>
      </c>
      <c r="K49" s="39"/>
      <c r="L49" s="39"/>
      <c r="M49" s="40"/>
      <c r="N49" s="80">
        <f>'ESG_CAPEX OPEX'!$B$6*($N$43-$N$42)+'ESG_CAPEX OPEX'!$B$6*$N$44*$C$87+('ESG_CAPEX OPEX'!$B$6*$N$44-'ESG_CAPEX OPEX'!$B$6/'ESG_CAPEX OPEX'!$B$7)*$C$88+$C$89*$N$45+('Task 1_ESG Roadmap'!$C$107*$C$90*$C$83-$C$91)+$C$92+$C$93+$C$94</f>
        <v>14833318750</v>
      </c>
    </row>
    <row r="50" ht="14.25" customHeight="1">
      <c r="B50" s="104" t="s">
        <v>391</v>
      </c>
      <c r="C50" s="39"/>
      <c r="D50" s="39"/>
      <c r="E50" s="39"/>
      <c r="F50" s="39"/>
      <c r="G50" s="39"/>
      <c r="H50" s="40"/>
      <c r="J50" s="141" t="s">
        <v>392</v>
      </c>
      <c r="K50" s="39"/>
      <c r="L50" s="39"/>
      <c r="M50" s="40"/>
      <c r="N50" s="77" t="str">
        <f>IF(ABS(N49-'ESG_CAPEX OPEX'!F45)&lt;1,"OK","CHECK")</f>
        <v>OK</v>
      </c>
    </row>
    <row r="51" ht="42.75" customHeight="1">
      <c r="B51" s="55" t="s">
        <v>394</v>
      </c>
      <c r="C51" s="80">
        <f t="shared" ref="C51:H51" si="20">C46*$C$84+C47*$C$85+C48*$C$86</f>
        <v>33000000000</v>
      </c>
      <c r="D51" s="80">
        <f t="shared" si="20"/>
        <v>40982722603</v>
      </c>
      <c r="E51" s="80">
        <f t="shared" si="20"/>
        <v>54256526250</v>
      </c>
      <c r="F51" s="80">
        <f t="shared" si="20"/>
        <v>71471793750</v>
      </c>
      <c r="G51" s="80">
        <f t="shared" si="20"/>
        <v>63260148692</v>
      </c>
      <c r="H51" s="80">
        <f t="shared" si="20"/>
        <v>50608118954</v>
      </c>
      <c r="J51" s="96" t="s">
        <v>397</v>
      </c>
    </row>
    <row r="52" ht="18.0" customHeight="1">
      <c r="B52" s="55" t="s">
        <v>398</v>
      </c>
      <c r="C52" s="80">
        <f t="shared" ref="C52:H52" si="21">C49*$C$84</f>
        <v>33000000000</v>
      </c>
      <c r="D52" s="80">
        <f t="shared" si="21"/>
        <v>36960000000</v>
      </c>
      <c r="E52" s="80">
        <f t="shared" si="21"/>
        <v>45493800000</v>
      </c>
      <c r="F52" s="80">
        <f t="shared" si="21"/>
        <v>56867250000</v>
      </c>
      <c r="G52" s="80">
        <f t="shared" si="21"/>
        <v>50333572196</v>
      </c>
      <c r="H52" s="80">
        <f t="shared" si="21"/>
        <v>40266857757</v>
      </c>
    </row>
    <row r="53" ht="18.0" customHeight="1">
      <c r="B53" s="55" t="s">
        <v>406</v>
      </c>
      <c r="C53" s="80">
        <f t="shared" ref="C53:H53" si="22">C51-C52</f>
        <v>0</v>
      </c>
      <c r="D53" s="80">
        <f t="shared" si="22"/>
        <v>4022722603</v>
      </c>
      <c r="E53" s="80">
        <f t="shared" si="22"/>
        <v>8762726250</v>
      </c>
      <c r="F53" s="80">
        <f t="shared" si="22"/>
        <v>14604543750</v>
      </c>
      <c r="G53" s="80">
        <f t="shared" si="22"/>
        <v>12926576496</v>
      </c>
      <c r="H53" s="80">
        <f t="shared" si="22"/>
        <v>10341261197</v>
      </c>
    </row>
    <row r="54" ht="18.0" customHeight="1">
      <c r="B54" s="55" t="s">
        <v>409</v>
      </c>
      <c r="C54" s="80">
        <f t="shared" ref="C54:H54" si="23">(C47+C48)*$C$87</f>
        <v>0</v>
      </c>
      <c r="D54" s="80">
        <f t="shared" si="23"/>
        <v>1032380137</v>
      </c>
      <c r="E54" s="80">
        <f t="shared" si="23"/>
        <v>2248841250</v>
      </c>
      <c r="F54" s="80">
        <f t="shared" si="23"/>
        <v>3748068750</v>
      </c>
      <c r="G54" s="80">
        <f t="shared" si="23"/>
        <v>3317439986</v>
      </c>
      <c r="H54" s="80">
        <f t="shared" si="23"/>
        <v>2653951989</v>
      </c>
    </row>
    <row r="55" ht="18.0" customHeight="1">
      <c r="B55" s="55" t="s">
        <v>412</v>
      </c>
      <c r="C55" s="80">
        <f t="shared" ref="C55:H55" si="24">(C46+C47+C48-C49)*$C$88</f>
        <v>0</v>
      </c>
      <c r="D55" s="80">
        <f t="shared" si="24"/>
        <v>209323972.6</v>
      </c>
      <c r="E55" s="80">
        <f t="shared" si="24"/>
        <v>455971950</v>
      </c>
      <c r="F55" s="80">
        <f t="shared" si="24"/>
        <v>759953250</v>
      </c>
      <c r="G55" s="80">
        <f t="shared" si="24"/>
        <v>672639555.7</v>
      </c>
      <c r="H55" s="80">
        <f t="shared" si="24"/>
        <v>538111644.6</v>
      </c>
    </row>
    <row r="56" ht="18.0" customHeight="1">
      <c r="B56" s="73" t="s">
        <v>414</v>
      </c>
      <c r="C56" s="134">
        <f t="shared" ref="C56:H56" si="25">C53+C54+C55</f>
        <v>0</v>
      </c>
      <c r="D56" s="134">
        <f t="shared" si="25"/>
        <v>5264426712</v>
      </c>
      <c r="E56" s="134">
        <f t="shared" si="25"/>
        <v>11467539450</v>
      </c>
      <c r="F56" s="134">
        <f t="shared" si="25"/>
        <v>19112565750</v>
      </c>
      <c r="G56" s="134">
        <f t="shared" si="25"/>
        <v>16916656037</v>
      </c>
      <c r="H56" s="134">
        <f t="shared" si="25"/>
        <v>13533324830</v>
      </c>
    </row>
    <row r="57" ht="14.25" customHeight="1">
      <c r="B57" s="104" t="s">
        <v>416</v>
      </c>
      <c r="C57" s="39"/>
      <c r="D57" s="39"/>
      <c r="E57" s="39"/>
      <c r="F57" s="39"/>
      <c r="G57" s="39"/>
      <c r="H57" s="40"/>
    </row>
    <row r="58" ht="18.0" customHeight="1">
      <c r="B58" s="55" t="s">
        <v>417</v>
      </c>
      <c r="C58" s="80">
        <f t="shared" ref="C58:H58" si="26">IF(C44=0,0,ROUNDUP($C$89*(C47+C48)/C44/$N$46,0))</f>
        <v>0</v>
      </c>
      <c r="D58" s="80">
        <f t="shared" si="26"/>
        <v>2</v>
      </c>
      <c r="E58" s="80">
        <f t="shared" si="26"/>
        <v>3</v>
      </c>
      <c r="F58" s="80">
        <f t="shared" si="26"/>
        <v>5</v>
      </c>
      <c r="G58" s="80">
        <f t="shared" si="26"/>
        <v>4</v>
      </c>
      <c r="H58" s="80">
        <f t="shared" si="26"/>
        <v>3</v>
      </c>
    </row>
    <row r="59" ht="18.0" customHeight="1">
      <c r="B59" s="55" t="s">
        <v>418</v>
      </c>
      <c r="C59" s="80">
        <f t="shared" ref="C59:H59" si="27">C58*$N$45*C44</f>
        <v>0</v>
      </c>
      <c r="D59" s="80">
        <f t="shared" si="27"/>
        <v>210958904.1</v>
      </c>
      <c r="E59" s="80">
        <f t="shared" si="27"/>
        <v>420000000</v>
      </c>
      <c r="F59" s="80">
        <f t="shared" si="27"/>
        <v>700000000</v>
      </c>
      <c r="G59" s="80">
        <f t="shared" si="27"/>
        <v>560000000</v>
      </c>
      <c r="H59" s="80">
        <f t="shared" si="27"/>
        <v>420000000</v>
      </c>
    </row>
    <row r="60" ht="18.0" customHeight="1">
      <c r="B60" s="55" t="s">
        <v>420</v>
      </c>
      <c r="C60" s="80">
        <f t="shared" ref="C60:C61" si="28">0</f>
        <v>0</v>
      </c>
      <c r="D60" s="80">
        <f>IF(D44=0,0,('Task 1_ESG Roadmap'!I22*$C$90*$C$83-$C$91)*D44)</f>
        <v>242240154.1</v>
      </c>
      <c r="E60" s="80">
        <f>IF(E44=0,0,('Task 1_ESG Roadmap'!J22*$C$90*$C$83-$C$91)*E44)</f>
        <v>349568750</v>
      </c>
      <c r="F60" s="80">
        <f>IF(F44=0,0,('Task 1_ESG Roadmap'!K22*$C$90*$C$83-$C$91)*F44)</f>
        <v>349568750</v>
      </c>
      <c r="G60" s="80">
        <f>IF(G44=0,0,('Task 1_ESG Roadmap'!L22*$C$90*$C$83-$C$91)*G44)</f>
        <v>349568750</v>
      </c>
      <c r="H60" s="80">
        <f>IF(H44=0,0,('Task 1_ESG Roadmap'!M22*$C$90*$C$83-$C$91)*H44)</f>
        <v>349568750</v>
      </c>
    </row>
    <row r="61" ht="18.0" customHeight="1">
      <c r="B61" s="55" t="s">
        <v>457</v>
      </c>
      <c r="C61" s="80">
        <f t="shared" si="28"/>
        <v>0</v>
      </c>
      <c r="D61" s="80">
        <f t="shared" ref="D61:H61" si="29">$C$92</f>
        <v>60000000</v>
      </c>
      <c r="E61" s="80">
        <f t="shared" si="29"/>
        <v>60000000</v>
      </c>
      <c r="F61" s="80">
        <f t="shared" si="29"/>
        <v>60000000</v>
      </c>
      <c r="G61" s="80">
        <f t="shared" si="29"/>
        <v>60000000</v>
      </c>
      <c r="H61" s="80">
        <f t="shared" si="29"/>
        <v>60000000</v>
      </c>
    </row>
    <row r="62" ht="18.0" customHeight="1">
      <c r="B62" s="55" t="s">
        <v>464</v>
      </c>
      <c r="C62" s="80">
        <f t="shared" ref="C62:H62" si="30">$C$93*C44</f>
        <v>0</v>
      </c>
      <c r="D62" s="80">
        <f t="shared" si="30"/>
        <v>37671232.88</v>
      </c>
      <c r="E62" s="80">
        <f t="shared" si="30"/>
        <v>50000000</v>
      </c>
      <c r="F62" s="80">
        <f t="shared" si="30"/>
        <v>50000000</v>
      </c>
      <c r="G62" s="80">
        <f t="shared" si="30"/>
        <v>50000000</v>
      </c>
      <c r="H62" s="80">
        <f t="shared" si="30"/>
        <v>50000000</v>
      </c>
    </row>
    <row r="63" ht="18.0" customHeight="1">
      <c r="B63" s="55" t="s">
        <v>474</v>
      </c>
      <c r="C63" s="80">
        <f>0</f>
        <v>0</v>
      </c>
      <c r="D63" s="80">
        <f t="shared" ref="D63:H63" si="31">$C$94</f>
        <v>90000000</v>
      </c>
      <c r="E63" s="80">
        <f t="shared" si="31"/>
        <v>90000000</v>
      </c>
      <c r="F63" s="80">
        <f t="shared" si="31"/>
        <v>90000000</v>
      </c>
      <c r="G63" s="80">
        <f t="shared" si="31"/>
        <v>90000000</v>
      </c>
      <c r="H63" s="80">
        <f t="shared" si="31"/>
        <v>90000000</v>
      </c>
    </row>
    <row r="64" ht="18.0" customHeight="1">
      <c r="B64" s="73" t="s">
        <v>476</v>
      </c>
      <c r="C64" s="134">
        <f t="shared" ref="C64:H64" si="32">SUM(C59:C63)</f>
        <v>0</v>
      </c>
      <c r="D64" s="134">
        <f t="shared" si="32"/>
        <v>640870291.1</v>
      </c>
      <c r="E64" s="134">
        <f t="shared" si="32"/>
        <v>969568750</v>
      </c>
      <c r="F64" s="134">
        <f t="shared" si="32"/>
        <v>1249568750</v>
      </c>
      <c r="G64" s="134">
        <f t="shared" si="32"/>
        <v>1109568750</v>
      </c>
      <c r="H64" s="134">
        <f t="shared" si="32"/>
        <v>969568750</v>
      </c>
    </row>
    <row r="65" ht="14.25" customHeight="1">
      <c r="B65" s="104" t="s">
        <v>477</v>
      </c>
      <c r="C65" s="39"/>
      <c r="D65" s="39"/>
      <c r="E65" s="39"/>
      <c r="F65" s="39"/>
      <c r="G65" s="39"/>
      <c r="H65" s="40"/>
    </row>
    <row r="66" ht="18.0" customHeight="1">
      <c r="B66" s="55" t="s">
        <v>478</v>
      </c>
      <c r="C66" s="80">
        <f t="shared" ref="C66:H66" si="33">C56+C64</f>
        <v>0</v>
      </c>
      <c r="D66" s="80">
        <f t="shared" si="33"/>
        <v>5905297003</v>
      </c>
      <c r="E66" s="80">
        <f t="shared" si="33"/>
        <v>12437108200</v>
      </c>
      <c r="F66" s="80">
        <f t="shared" si="33"/>
        <v>20362134500</v>
      </c>
      <c r="G66" s="80">
        <f t="shared" si="33"/>
        <v>18026224787</v>
      </c>
      <c r="H66" s="80">
        <f t="shared" si="33"/>
        <v>14502893580</v>
      </c>
    </row>
    <row r="67" ht="33.0" customHeight="1">
      <c r="B67" s="78" t="s">
        <v>479</v>
      </c>
      <c r="C67" s="117">
        <f t="shared" ref="C67:H67" si="34">C66/$C$83</f>
        <v>0</v>
      </c>
      <c r="D67" s="117">
        <f t="shared" si="34"/>
        <v>231580.2746</v>
      </c>
      <c r="E67" s="117">
        <f t="shared" si="34"/>
        <v>487729.7333</v>
      </c>
      <c r="F67" s="117">
        <f t="shared" si="34"/>
        <v>798515.0784</v>
      </c>
      <c r="G67" s="117">
        <f t="shared" si="34"/>
        <v>706910.776</v>
      </c>
      <c r="H67" s="117">
        <f t="shared" si="34"/>
        <v>568740.9247</v>
      </c>
    </row>
    <row r="68" ht="18.0" customHeight="1">
      <c r="B68" s="55" t="s">
        <v>480</v>
      </c>
      <c r="C68" s="150">
        <f t="shared" ref="C68:H68" si="35">C67/C11</f>
        <v>0</v>
      </c>
      <c r="D68" s="150">
        <f t="shared" si="35"/>
        <v>0.04118886501</v>
      </c>
      <c r="E68" s="150">
        <f t="shared" si="35"/>
        <v>0.07047534992</v>
      </c>
      <c r="F68" s="150">
        <f t="shared" si="35"/>
        <v>0.09230625196</v>
      </c>
      <c r="G68" s="150">
        <f t="shared" si="35"/>
        <v>0.09232452271</v>
      </c>
      <c r="H68" s="150">
        <f t="shared" si="35"/>
        <v>0.09284894255</v>
      </c>
    </row>
    <row r="69" ht="14.25" customHeight="1"/>
    <row r="70" ht="21.75" customHeight="1">
      <c r="B70" s="103" t="s">
        <v>481</v>
      </c>
      <c r="C70" s="4"/>
      <c r="D70" s="4"/>
      <c r="E70" s="4"/>
      <c r="F70" s="4"/>
      <c r="G70" s="4"/>
      <c r="H70" s="4"/>
      <c r="I70" s="4"/>
      <c r="J70" s="4"/>
      <c r="K70" s="4"/>
      <c r="L70" s="4"/>
      <c r="M70" s="4"/>
      <c r="N70" s="6"/>
    </row>
    <row r="71" ht="21.75" customHeight="1">
      <c r="B71" s="51" t="s">
        <v>209</v>
      </c>
      <c r="C71" s="51" t="s">
        <v>210</v>
      </c>
      <c r="D71" s="51" t="s">
        <v>165</v>
      </c>
      <c r="E71" s="51" t="s">
        <v>166</v>
      </c>
      <c r="F71" s="51" t="s">
        <v>167</v>
      </c>
      <c r="G71" s="51" t="s">
        <v>168</v>
      </c>
      <c r="H71" s="51" t="s">
        <v>169</v>
      </c>
      <c r="J71" s="83" t="s">
        <v>482</v>
      </c>
      <c r="K71" s="84"/>
      <c r="L71" s="84"/>
      <c r="M71" s="84"/>
      <c r="N71" s="85"/>
    </row>
    <row r="72" ht="18.0" customHeight="1">
      <c r="B72" s="55" t="s">
        <v>330</v>
      </c>
      <c r="C72" s="111">
        <f t="shared" ref="C72:H72" si="36">C29</f>
        <v>2088727.366</v>
      </c>
      <c r="D72" s="111">
        <f t="shared" si="36"/>
        <v>2052324.44</v>
      </c>
      <c r="E72" s="111">
        <f t="shared" si="36"/>
        <v>2470274.161</v>
      </c>
      <c r="F72" s="111">
        <f t="shared" si="36"/>
        <v>3061159.56</v>
      </c>
      <c r="G72" s="111">
        <f t="shared" si="36"/>
        <v>2652169.649</v>
      </c>
      <c r="H72" s="111">
        <f t="shared" si="36"/>
        <v>2019646.526</v>
      </c>
      <c r="J72" s="86" t="str">
        <f>"Funding: the 2027 tranche (USD "&amp;TEXT(D74,"#,##0")&amp;") is covered "&amp;TEXT(D79,"0.0")&amp;"x by 2027 net profit plus depreciation, so no new debt is needed. Free cash flow is positive every year (lowest USD "&amp;TEXT(MIN(D77:H77)/1000000,"0.00")&amp;"M) and reaches USD "&amp;TEXT(H78/1000000,"0.00")&amp;"M by 2031 after funding the working capital that growth needs. Existing plant depreciation inside COGS is assumed reinvested as sustaining CAPEX."</f>
        <v>Funding: the 2027 tranche (USD 896,500) is covered 2.5x by 2027 net profit plus depreciation, so no new debt is needed. Free cash flow is positive every year (lowest USD 0.97M) and reaches USD 11.58M by 2031 after funding the working capital that growth needs. Existing plant depreciation inside COGS is assumed reinvested as sustaining CAPEX.</v>
      </c>
      <c r="K72" s="87"/>
      <c r="L72" s="87"/>
      <c r="M72" s="87"/>
      <c r="N72" s="88"/>
    </row>
    <row r="73" ht="18.0" customHeight="1">
      <c r="B73" s="55" t="s">
        <v>483</v>
      </c>
      <c r="C73" s="111">
        <f t="shared" ref="C73:H73" si="37">C20</f>
        <v>0</v>
      </c>
      <c r="D73" s="111">
        <f t="shared" si="37"/>
        <v>179300</v>
      </c>
      <c r="E73" s="111">
        <f t="shared" si="37"/>
        <v>188100</v>
      </c>
      <c r="F73" s="111">
        <f t="shared" si="37"/>
        <v>188100</v>
      </c>
      <c r="G73" s="111">
        <f t="shared" si="37"/>
        <v>188100</v>
      </c>
      <c r="H73" s="111">
        <f t="shared" si="37"/>
        <v>188100</v>
      </c>
      <c r="J73" s="89"/>
      <c r="N73" s="90"/>
    </row>
    <row r="74" ht="18.0" customHeight="1">
      <c r="B74" s="55" t="s">
        <v>484</v>
      </c>
      <c r="C74" s="111">
        <f>0</f>
        <v>0</v>
      </c>
      <c r="D74" s="109">
        <f>'Task 1_ESG Roadmap'!I21</f>
        <v>896500</v>
      </c>
      <c r="E74" s="109">
        <f>'Task 1_ESG Roadmap'!J21</f>
        <v>44000</v>
      </c>
      <c r="F74" s="109">
        <f>'Task 1_ESG Roadmap'!K21</f>
        <v>0</v>
      </c>
      <c r="G74" s="109">
        <f>'Task 1_ESG Roadmap'!L21</f>
        <v>0</v>
      </c>
      <c r="H74" s="109">
        <f>'Task 1_ESG Roadmap'!M21</f>
        <v>0</v>
      </c>
      <c r="J74" s="89"/>
      <c r="N74" s="90"/>
    </row>
    <row r="75" ht="18.0" customHeight="1">
      <c r="B75" s="55" t="s">
        <v>485</v>
      </c>
      <c r="C75" s="111">
        <f t="shared" ref="C75:H75" si="38">$C$100/365*C15+($C$101-$C$102)/365*C16</f>
        <v>3007243.062</v>
      </c>
      <c r="D75" s="111">
        <f t="shared" si="38"/>
        <v>3368112.229</v>
      </c>
      <c r="E75" s="111">
        <f t="shared" si="38"/>
        <v>4145785.285</v>
      </c>
      <c r="F75" s="111">
        <f t="shared" si="38"/>
        <v>5182231.606</v>
      </c>
      <c r="G75" s="111">
        <f t="shared" si="38"/>
        <v>4586826.841</v>
      </c>
      <c r="H75" s="111">
        <f t="shared" si="38"/>
        <v>3669461.473</v>
      </c>
      <c r="J75" s="89"/>
      <c r="N75" s="90"/>
    </row>
    <row r="76" ht="18.0" customHeight="1">
      <c r="B76" s="55" t="s">
        <v>486</v>
      </c>
      <c r="C76" s="111"/>
      <c r="D76" s="111">
        <f t="shared" ref="D76:H76" si="39">D75-C75</f>
        <v>360869.1674</v>
      </c>
      <c r="E76" s="111">
        <f t="shared" si="39"/>
        <v>777673.0558</v>
      </c>
      <c r="F76" s="111">
        <f t="shared" si="39"/>
        <v>1036446.321</v>
      </c>
      <c r="G76" s="111">
        <f t="shared" si="39"/>
        <v>-595404.7649</v>
      </c>
      <c r="H76" s="111">
        <f t="shared" si="39"/>
        <v>-917365.3683</v>
      </c>
      <c r="J76" s="89"/>
      <c r="N76" s="90"/>
    </row>
    <row r="77" ht="18.0" customHeight="1">
      <c r="B77" s="78" t="s">
        <v>487</v>
      </c>
      <c r="C77" s="117"/>
      <c r="D77" s="117">
        <f t="shared" ref="D77:H77" si="40">D72+D73-D74-D76</f>
        <v>974255.2726</v>
      </c>
      <c r="E77" s="117">
        <f t="shared" si="40"/>
        <v>1836701.106</v>
      </c>
      <c r="F77" s="117">
        <f t="shared" si="40"/>
        <v>2212813.238</v>
      </c>
      <c r="G77" s="117">
        <f t="shared" si="40"/>
        <v>3435674.414</v>
      </c>
      <c r="H77" s="117">
        <f t="shared" si="40"/>
        <v>3125111.895</v>
      </c>
      <c r="J77" s="89"/>
      <c r="N77" s="90"/>
    </row>
    <row r="78" ht="18.0" customHeight="1">
      <c r="B78" s="55" t="s">
        <v>506</v>
      </c>
      <c r="C78" s="110"/>
      <c r="D78" s="110">
        <f>D77</f>
        <v>974255.2726</v>
      </c>
      <c r="E78" s="110">
        <f t="shared" ref="E78:H78" si="41">D78+E77</f>
        <v>2810956.378</v>
      </c>
      <c r="F78" s="110">
        <f t="shared" si="41"/>
        <v>5023769.617</v>
      </c>
      <c r="G78" s="110">
        <f t="shared" si="41"/>
        <v>8459444.031</v>
      </c>
      <c r="H78" s="110">
        <f t="shared" si="41"/>
        <v>11584555.93</v>
      </c>
      <c r="J78" s="89"/>
      <c r="N78" s="90"/>
    </row>
    <row r="79" ht="18.0" customHeight="1">
      <c r="B79" s="55" t="s">
        <v>507</v>
      </c>
      <c r="C79" s="81"/>
      <c r="D79" s="81">
        <f t="shared" ref="D79:H79" si="42">IF(D74=0,"n/a",(D72+D73)/D74)</f>
        <v>2.489263179</v>
      </c>
      <c r="E79" s="81">
        <f t="shared" si="42"/>
        <v>60.41759458</v>
      </c>
      <c r="F79" s="81" t="str">
        <f t="shared" si="42"/>
        <v>n/a</v>
      </c>
      <c r="G79" s="81" t="str">
        <f t="shared" si="42"/>
        <v>n/a</v>
      </c>
      <c r="H79" s="81" t="str">
        <f t="shared" si="42"/>
        <v>n/a</v>
      </c>
      <c r="J79" s="93"/>
      <c r="K79" s="94"/>
      <c r="L79" s="94"/>
      <c r="M79" s="94"/>
      <c r="N79" s="95"/>
    </row>
    <row r="80" ht="14.25" customHeight="1"/>
    <row r="81" ht="21.75" customHeight="1">
      <c r="B81" s="50" t="s">
        <v>508</v>
      </c>
      <c r="C81" s="39"/>
      <c r="D81" s="39"/>
      <c r="E81" s="39"/>
      <c r="F81" s="39"/>
      <c r="G81" s="39"/>
      <c r="H81" s="39"/>
      <c r="I81" s="39"/>
      <c r="J81" s="39"/>
      <c r="K81" s="39"/>
      <c r="L81" s="39"/>
      <c r="M81" s="39"/>
      <c r="N81" s="40"/>
    </row>
    <row r="82" ht="21.75" customHeight="1">
      <c r="B82" s="51" t="s">
        <v>121</v>
      </c>
      <c r="C82" s="51" t="s">
        <v>122</v>
      </c>
      <c r="D82" s="51" t="s">
        <v>123</v>
      </c>
      <c r="E82" s="52" t="s">
        <v>124</v>
      </c>
      <c r="F82" s="39"/>
      <c r="G82" s="39"/>
      <c r="H82" s="39"/>
      <c r="I82" s="39"/>
      <c r="J82" s="39"/>
      <c r="K82" s="39"/>
      <c r="L82" s="39"/>
      <c r="M82" s="39"/>
      <c r="N82" s="40"/>
    </row>
    <row r="83" ht="30.0" customHeight="1">
      <c r="B83" s="55" t="s">
        <v>509</v>
      </c>
      <c r="C83" s="156">
        <v>25500.0</v>
      </c>
      <c r="D83" s="57" t="s">
        <v>510</v>
      </c>
      <c r="E83" s="146" t="s">
        <v>511</v>
      </c>
      <c r="F83" s="39"/>
      <c r="G83" s="39"/>
      <c r="H83" s="39"/>
      <c r="I83" s="39"/>
      <c r="J83" s="39"/>
      <c r="K83" s="39"/>
      <c r="L83" s="39"/>
      <c r="M83" s="39"/>
      <c r="N83" s="40"/>
    </row>
    <row r="84" ht="16.5" customHeight="1">
      <c r="B84" s="55" t="s">
        <v>512</v>
      </c>
      <c r="C84" s="156">
        <v>2750000.0</v>
      </c>
      <c r="D84" s="57" t="s">
        <v>513</v>
      </c>
      <c r="E84" s="146" t="s">
        <v>514</v>
      </c>
      <c r="F84" s="39"/>
      <c r="G84" s="39"/>
      <c r="H84" s="39"/>
      <c r="I84" s="39"/>
      <c r="J84" s="39"/>
      <c r="K84" s="39"/>
      <c r="L84" s="39"/>
      <c r="M84" s="39"/>
      <c r="N84" s="40"/>
    </row>
    <row r="85" ht="16.5" customHeight="1">
      <c r="B85" s="55" t="s">
        <v>515</v>
      </c>
      <c r="C85" s="56">
        <f>'ESG_CAPEX OPEX'!B12</f>
        <v>1950000</v>
      </c>
      <c r="D85" s="57" t="s">
        <v>513</v>
      </c>
      <c r="E85" s="146" t="s">
        <v>520</v>
      </c>
      <c r="F85" s="39"/>
      <c r="G85" s="39"/>
      <c r="H85" s="39"/>
      <c r="I85" s="39"/>
      <c r="J85" s="39"/>
      <c r="K85" s="39"/>
      <c r="L85" s="39"/>
      <c r="M85" s="39"/>
      <c r="N85" s="40"/>
    </row>
    <row r="86" ht="16.5" customHeight="1">
      <c r="B86" s="55" t="s">
        <v>521</v>
      </c>
      <c r="C86" s="56">
        <f>'ESG_CAPEX OPEX'!B13</f>
        <v>3600000</v>
      </c>
      <c r="D86" s="57" t="s">
        <v>513</v>
      </c>
      <c r="E86" s="146" t="s">
        <v>523</v>
      </c>
      <c r="F86" s="39"/>
      <c r="G86" s="39"/>
      <c r="H86" s="39"/>
      <c r="I86" s="39"/>
      <c r="J86" s="39"/>
      <c r="K86" s="39"/>
      <c r="L86" s="39"/>
      <c r="M86" s="39"/>
      <c r="N86" s="40"/>
    </row>
    <row r="87" ht="16.5" customHeight="1">
      <c r="B87" s="55" t="s">
        <v>409</v>
      </c>
      <c r="C87" s="56">
        <f>'ESG_CAPEX OPEX'!B38</f>
        <v>150000</v>
      </c>
      <c r="D87" s="57" t="s">
        <v>525</v>
      </c>
      <c r="E87" s="146" t="s">
        <v>526</v>
      </c>
      <c r="F87" s="39"/>
      <c r="G87" s="39"/>
      <c r="H87" s="39"/>
      <c r="I87" s="39"/>
      <c r="J87" s="39"/>
      <c r="K87" s="39"/>
      <c r="L87" s="39"/>
      <c r="M87" s="39"/>
      <c r="N87" s="40"/>
    </row>
    <row r="88" ht="16.5" customHeight="1">
      <c r="B88" s="55" t="s">
        <v>527</v>
      </c>
      <c r="C88" s="56">
        <f>'ESG_CAPEX OPEX'!B42</f>
        <v>90000</v>
      </c>
      <c r="D88" s="57" t="s">
        <v>528</v>
      </c>
      <c r="E88" s="146" t="s">
        <v>529</v>
      </c>
      <c r="F88" s="39"/>
      <c r="G88" s="39"/>
      <c r="H88" s="39"/>
      <c r="I88" s="39"/>
      <c r="J88" s="39"/>
      <c r="K88" s="39"/>
      <c r="L88" s="39"/>
      <c r="M88" s="39"/>
      <c r="N88" s="40"/>
    </row>
    <row r="89" ht="16.5" customHeight="1">
      <c r="B89" s="55" t="s">
        <v>531</v>
      </c>
      <c r="C89" s="156">
        <v>3.0</v>
      </c>
      <c r="D89" s="57" t="s">
        <v>532</v>
      </c>
      <c r="E89" s="146" t="s">
        <v>533</v>
      </c>
      <c r="F89" s="39"/>
      <c r="G89" s="39"/>
      <c r="H89" s="39"/>
      <c r="I89" s="39"/>
      <c r="J89" s="39"/>
      <c r="K89" s="39"/>
      <c r="L89" s="39"/>
      <c r="M89" s="39"/>
      <c r="N89" s="40"/>
    </row>
    <row r="90" ht="16.5" customHeight="1">
      <c r="B90" s="55" t="s">
        <v>534</v>
      </c>
      <c r="C90" s="67">
        <f>'ESG_CAPEX OPEX'!B40</f>
        <v>0.025</v>
      </c>
      <c r="D90" s="57" t="s">
        <v>535</v>
      </c>
      <c r="E90" s="146" t="s">
        <v>536</v>
      </c>
      <c r="F90" s="39"/>
      <c r="G90" s="39"/>
      <c r="H90" s="39"/>
      <c r="I90" s="39"/>
      <c r="J90" s="39"/>
      <c r="K90" s="39"/>
      <c r="L90" s="39"/>
      <c r="M90" s="39"/>
      <c r="N90" s="40"/>
    </row>
    <row r="91" ht="16.5" customHeight="1">
      <c r="B91" s="55" t="s">
        <v>537</v>
      </c>
      <c r="C91" s="56">
        <f>'ESG_CAPEX OPEX'!D40</f>
        <v>250000000</v>
      </c>
      <c r="D91" s="57" t="s">
        <v>538</v>
      </c>
      <c r="E91" s="146" t="s">
        <v>539</v>
      </c>
      <c r="F91" s="39"/>
      <c r="G91" s="39"/>
      <c r="H91" s="39"/>
      <c r="I91" s="39"/>
      <c r="J91" s="39"/>
      <c r="K91" s="39"/>
      <c r="L91" s="39"/>
      <c r="M91" s="39"/>
      <c r="N91" s="40"/>
    </row>
    <row r="92" ht="16.5" customHeight="1">
      <c r="B92" s="55" t="s">
        <v>540</v>
      </c>
      <c r="C92" s="56">
        <f>'ESG_CAPEX OPEX'!E41-'ESG_CAPEX OPEX'!D41</f>
        <v>60000000</v>
      </c>
      <c r="D92" s="57" t="s">
        <v>538</v>
      </c>
      <c r="E92" s="146" t="s">
        <v>541</v>
      </c>
      <c r="F92" s="39"/>
      <c r="G92" s="39"/>
      <c r="H92" s="39"/>
      <c r="I92" s="39"/>
      <c r="J92" s="39"/>
      <c r="K92" s="39"/>
      <c r="L92" s="39"/>
      <c r="M92" s="39"/>
      <c r="N92" s="40"/>
    </row>
    <row r="93" ht="16.5" customHeight="1">
      <c r="B93" s="55" t="s">
        <v>542</v>
      </c>
      <c r="C93" s="56">
        <f>'ESG_CAPEX OPEX'!E43-'ESG_CAPEX OPEX'!D43</f>
        <v>50000000</v>
      </c>
      <c r="D93" s="57" t="s">
        <v>538</v>
      </c>
      <c r="E93" s="146" t="s">
        <v>543</v>
      </c>
      <c r="F93" s="39"/>
      <c r="G93" s="39"/>
      <c r="H93" s="39"/>
      <c r="I93" s="39"/>
      <c r="J93" s="39"/>
      <c r="K93" s="39"/>
      <c r="L93" s="39"/>
      <c r="M93" s="39"/>
      <c r="N93" s="40"/>
    </row>
    <row r="94" ht="16.5" customHeight="1">
      <c r="B94" s="55" t="s">
        <v>544</v>
      </c>
      <c r="C94" s="56">
        <f>'ESG_CAPEX OPEX'!E44-'ESG_CAPEX OPEX'!D44</f>
        <v>90000000</v>
      </c>
      <c r="D94" s="57" t="s">
        <v>538</v>
      </c>
      <c r="E94" s="146" t="s">
        <v>545</v>
      </c>
      <c r="F94" s="39"/>
      <c r="G94" s="39"/>
      <c r="H94" s="39"/>
      <c r="I94" s="39"/>
      <c r="J94" s="39"/>
      <c r="K94" s="39"/>
      <c r="L94" s="39"/>
      <c r="M94" s="39"/>
      <c r="N94" s="40"/>
    </row>
    <row r="95" ht="30.0" customHeight="1">
      <c r="B95" s="55" t="s">
        <v>313</v>
      </c>
      <c r="C95" s="71">
        <v>0.025</v>
      </c>
      <c r="D95" s="57" t="s">
        <v>547</v>
      </c>
      <c r="E95" s="157" t="s">
        <v>548</v>
      </c>
      <c r="F95" s="39"/>
      <c r="G95" s="39"/>
      <c r="H95" s="39"/>
      <c r="I95" s="39"/>
      <c r="J95" s="39"/>
      <c r="K95" s="39"/>
      <c r="L95" s="39"/>
      <c r="M95" s="39"/>
      <c r="N95" s="40"/>
    </row>
    <row r="96" ht="30.0" customHeight="1">
      <c r="B96" s="55" t="s">
        <v>550</v>
      </c>
      <c r="C96" s="71">
        <v>0.045</v>
      </c>
      <c r="D96" s="57" t="s">
        <v>551</v>
      </c>
      <c r="E96" s="157" t="s">
        <v>552</v>
      </c>
      <c r="F96" s="39"/>
      <c r="G96" s="39"/>
      <c r="H96" s="39"/>
      <c r="I96" s="39"/>
      <c r="J96" s="39"/>
      <c r="K96" s="39"/>
      <c r="L96" s="39"/>
      <c r="M96" s="39"/>
      <c r="N96" s="40"/>
    </row>
    <row r="97" ht="16.5" customHeight="1">
      <c r="B97" s="55" t="s">
        <v>554</v>
      </c>
      <c r="C97" s="71">
        <v>0.5</v>
      </c>
      <c r="D97" s="57" t="s">
        <v>555</v>
      </c>
      <c r="E97" s="146" t="s">
        <v>556</v>
      </c>
      <c r="F97" s="39"/>
      <c r="G97" s="39"/>
      <c r="H97" s="39"/>
      <c r="I97" s="39"/>
      <c r="J97" s="39"/>
      <c r="K97" s="39"/>
      <c r="L97" s="39"/>
      <c r="M97" s="39"/>
      <c r="N97" s="40"/>
    </row>
    <row r="98" ht="16.5" customHeight="1">
      <c r="B98" s="55" t="s">
        <v>557</v>
      </c>
      <c r="C98" s="71">
        <v>0.2</v>
      </c>
      <c r="D98" s="57" t="s">
        <v>558</v>
      </c>
      <c r="E98" s="157" t="s">
        <v>559</v>
      </c>
      <c r="F98" s="39"/>
      <c r="G98" s="39"/>
      <c r="H98" s="39"/>
      <c r="I98" s="39"/>
      <c r="J98" s="39"/>
      <c r="K98" s="39"/>
      <c r="L98" s="39"/>
      <c r="M98" s="39"/>
      <c r="N98" s="40"/>
    </row>
    <row r="99" ht="16.5" customHeight="1">
      <c r="B99" s="55" t="s">
        <v>327</v>
      </c>
      <c r="C99" s="158">
        <v>0.0</v>
      </c>
      <c r="D99" s="57" t="s">
        <v>561</v>
      </c>
      <c r="E99" s="146" t="s">
        <v>562</v>
      </c>
      <c r="F99" s="39"/>
      <c r="G99" s="39"/>
      <c r="H99" s="39"/>
      <c r="I99" s="39"/>
      <c r="J99" s="39"/>
      <c r="K99" s="39"/>
      <c r="L99" s="39"/>
      <c r="M99" s="39"/>
      <c r="N99" s="40"/>
    </row>
    <row r="100" ht="16.5" customHeight="1">
      <c r="B100" s="55" t="s">
        <v>563</v>
      </c>
      <c r="C100" s="156">
        <v>45.0</v>
      </c>
      <c r="D100" s="57" t="s">
        <v>564</v>
      </c>
      <c r="E100" s="146" t="s">
        <v>565</v>
      </c>
      <c r="F100" s="39"/>
      <c r="G100" s="39"/>
      <c r="H100" s="39"/>
      <c r="I100" s="39"/>
      <c r="J100" s="39"/>
      <c r="K100" s="39"/>
      <c r="L100" s="39"/>
      <c r="M100" s="39"/>
      <c r="N100" s="40"/>
    </row>
    <row r="101" ht="16.5" customHeight="1">
      <c r="B101" s="55" t="s">
        <v>566</v>
      </c>
      <c r="C101" s="156">
        <v>45.0</v>
      </c>
      <c r="D101" s="57" t="s">
        <v>579</v>
      </c>
      <c r="E101" s="146" t="s">
        <v>580</v>
      </c>
      <c r="F101" s="39"/>
      <c r="G101" s="39"/>
      <c r="H101" s="39"/>
      <c r="I101" s="39"/>
      <c r="J101" s="39"/>
      <c r="K101" s="39"/>
      <c r="L101" s="39"/>
      <c r="M101" s="39"/>
      <c r="N101" s="40"/>
    </row>
    <row r="102" ht="16.5" customHeight="1">
      <c r="B102" s="55" t="s">
        <v>581</v>
      </c>
      <c r="C102" s="156">
        <v>30.0</v>
      </c>
      <c r="D102" s="57" t="s">
        <v>579</v>
      </c>
      <c r="E102" s="146" t="s">
        <v>582</v>
      </c>
      <c r="F102" s="39"/>
      <c r="G102" s="39"/>
      <c r="H102" s="39"/>
      <c r="I102" s="39"/>
      <c r="J102" s="39"/>
      <c r="K102" s="39"/>
      <c r="L102" s="39"/>
      <c r="M102" s="39"/>
      <c r="N102" s="40"/>
    </row>
    <row r="103" ht="14.25" customHeight="1"/>
    <row r="104" ht="21.75" customHeight="1">
      <c r="B104" s="103" t="s">
        <v>583</v>
      </c>
      <c r="C104" s="4"/>
      <c r="D104" s="4"/>
      <c r="E104" s="4"/>
      <c r="F104" s="4"/>
      <c r="G104" s="4"/>
      <c r="H104" s="4"/>
      <c r="I104" s="4"/>
      <c r="J104" s="4"/>
      <c r="K104" s="4"/>
      <c r="L104" s="4"/>
      <c r="M104" s="4"/>
      <c r="N104" s="6"/>
    </row>
    <row r="105" ht="21.75" customHeight="1">
      <c r="B105" s="124" t="s">
        <v>428</v>
      </c>
      <c r="C105" s="52" t="s">
        <v>429</v>
      </c>
      <c r="D105" s="39"/>
      <c r="E105" s="39"/>
      <c r="F105" s="39"/>
      <c r="G105" s="39"/>
      <c r="H105" s="40"/>
      <c r="I105" s="37"/>
      <c r="J105" s="52" t="s">
        <v>586</v>
      </c>
      <c r="K105" s="39"/>
      <c r="L105" s="39"/>
      <c r="M105" s="39"/>
      <c r="N105" s="40"/>
    </row>
    <row r="106" ht="47.25" customHeight="1">
      <c r="B106" s="73" t="s">
        <v>587</v>
      </c>
      <c r="C106" s="141" t="s">
        <v>588</v>
      </c>
      <c r="D106" s="39"/>
      <c r="E106" s="39"/>
      <c r="F106" s="39"/>
      <c r="G106" s="39"/>
      <c r="H106" s="40"/>
      <c r="I106" s="37"/>
      <c r="J106" s="146" t="s">
        <v>590</v>
      </c>
      <c r="K106" s="39"/>
      <c r="L106" s="39"/>
      <c r="M106" s="39"/>
      <c r="N106" s="40"/>
    </row>
    <row r="107" ht="47.25" customHeight="1">
      <c r="B107" s="73" t="s">
        <v>592</v>
      </c>
      <c r="C107" s="141" t="s">
        <v>598</v>
      </c>
      <c r="D107" s="39"/>
      <c r="E107" s="39"/>
      <c r="F107" s="39"/>
      <c r="G107" s="39"/>
      <c r="H107" s="40"/>
      <c r="I107" s="37"/>
      <c r="J107" s="146" t="s">
        <v>604</v>
      </c>
      <c r="K107" s="39"/>
      <c r="L107" s="39"/>
      <c r="M107" s="39"/>
      <c r="N107" s="40"/>
    </row>
    <row r="108" ht="47.25" customHeight="1">
      <c r="B108" s="73" t="s">
        <v>605</v>
      </c>
      <c r="C108" s="141" t="s">
        <v>606</v>
      </c>
      <c r="D108" s="39"/>
      <c r="E108" s="39"/>
      <c r="F108" s="39"/>
      <c r="G108" s="39"/>
      <c r="H108" s="40"/>
      <c r="I108" s="37"/>
      <c r="J108" s="146" t="s">
        <v>607</v>
      </c>
      <c r="K108" s="39"/>
      <c r="L108" s="39"/>
      <c r="M108" s="39"/>
      <c r="N108" s="40"/>
    </row>
    <row r="109" ht="47.25" customHeight="1">
      <c r="B109" s="73" t="s">
        <v>608</v>
      </c>
      <c r="C109" s="141" t="s">
        <v>609</v>
      </c>
      <c r="D109" s="39"/>
      <c r="E109" s="39"/>
      <c r="F109" s="39"/>
      <c r="G109" s="39"/>
      <c r="H109" s="40"/>
      <c r="I109" s="37"/>
      <c r="J109" s="146" t="s">
        <v>610</v>
      </c>
      <c r="K109" s="39"/>
      <c r="L109" s="39"/>
      <c r="M109" s="39"/>
      <c r="N109" s="40"/>
    </row>
    <row r="110" ht="33.0" customHeight="1">
      <c r="B110" s="73" t="s">
        <v>611</v>
      </c>
      <c r="C110" s="141" t="s">
        <v>612</v>
      </c>
      <c r="D110" s="39"/>
      <c r="E110" s="39"/>
      <c r="F110" s="39"/>
      <c r="G110" s="39"/>
      <c r="H110" s="40"/>
      <c r="I110" s="37"/>
      <c r="J110" s="164" t="s">
        <v>613</v>
      </c>
      <c r="K110" s="39"/>
      <c r="L110" s="39"/>
      <c r="M110" s="39"/>
      <c r="N110" s="40"/>
    </row>
    <row r="111" ht="33.0" customHeight="1">
      <c r="B111" s="73" t="s">
        <v>614</v>
      </c>
      <c r="C111" s="141" t="s">
        <v>615</v>
      </c>
      <c r="D111" s="39"/>
      <c r="E111" s="39"/>
      <c r="F111" s="39"/>
      <c r="G111" s="39"/>
      <c r="H111" s="40"/>
      <c r="I111" s="37"/>
      <c r="J111" s="164" t="s">
        <v>616</v>
      </c>
      <c r="K111" s="39"/>
      <c r="L111" s="39"/>
      <c r="M111" s="39"/>
      <c r="N111" s="40"/>
    </row>
    <row r="112" ht="33.0" customHeight="1">
      <c r="B112" s="73" t="s">
        <v>617</v>
      </c>
      <c r="C112" s="141" t="s">
        <v>618</v>
      </c>
      <c r="D112" s="39"/>
      <c r="E112" s="39"/>
      <c r="F112" s="39"/>
      <c r="G112" s="39"/>
      <c r="H112" s="40"/>
      <c r="I112" s="37"/>
      <c r="J112" s="146" t="s">
        <v>619</v>
      </c>
      <c r="K112" s="39"/>
      <c r="L112" s="39"/>
      <c r="M112" s="39"/>
      <c r="N112" s="40"/>
    </row>
    <row r="113" ht="33.0" customHeight="1">
      <c r="B113" s="73" t="s">
        <v>620</v>
      </c>
      <c r="C113" s="141" t="s">
        <v>621</v>
      </c>
      <c r="D113" s="39"/>
      <c r="E113" s="39"/>
      <c r="F113" s="39"/>
      <c r="G113" s="39"/>
      <c r="H113" s="40"/>
      <c r="I113" s="37"/>
      <c r="J113" s="146" t="s">
        <v>622</v>
      </c>
      <c r="K113" s="39"/>
      <c r="L113" s="39"/>
      <c r="M113" s="39"/>
      <c r="N113" s="40"/>
    </row>
    <row r="114" ht="14.25" customHeight="1"/>
    <row r="115" ht="14.25" customHeight="1">
      <c r="B115" s="83" t="s">
        <v>469</v>
      </c>
      <c r="C115" s="84"/>
      <c r="D115" s="84"/>
      <c r="E115" s="84"/>
      <c r="F115" s="84"/>
      <c r="G115" s="84"/>
      <c r="H115" s="84"/>
      <c r="I115" s="84"/>
      <c r="J115" s="84"/>
      <c r="K115" s="84"/>
      <c r="L115" s="84"/>
      <c r="M115" s="84"/>
      <c r="N115" s="85"/>
    </row>
    <row r="116" ht="16.5" customHeight="1">
      <c r="B116" s="148" t="s">
        <v>623</v>
      </c>
      <c r="C116" s="84"/>
      <c r="D116" s="84"/>
      <c r="E116" s="84"/>
      <c r="F116" s="84"/>
      <c r="G116" s="84"/>
      <c r="H116" s="84"/>
      <c r="I116" s="84"/>
      <c r="J116" s="84"/>
      <c r="K116" s="84"/>
      <c r="L116" s="84"/>
      <c r="M116" s="84"/>
      <c r="N116" s="85"/>
    </row>
    <row r="117" ht="16.5" customHeight="1">
      <c r="B117" s="149" t="s">
        <v>630</v>
      </c>
      <c r="C117" s="84"/>
      <c r="D117" s="84"/>
      <c r="E117" s="84"/>
      <c r="F117" s="84"/>
      <c r="G117" s="84"/>
      <c r="H117" s="84"/>
      <c r="I117" s="84"/>
      <c r="J117" s="84"/>
      <c r="K117" s="84"/>
      <c r="L117" s="84"/>
      <c r="M117" s="84"/>
      <c r="N117" s="85"/>
    </row>
    <row r="118" ht="16.5" customHeight="1">
      <c r="B118" s="149" t="s">
        <v>631</v>
      </c>
      <c r="C118" s="84"/>
      <c r="D118" s="84"/>
      <c r="E118" s="84"/>
      <c r="F118" s="84"/>
      <c r="G118" s="84"/>
      <c r="H118" s="84"/>
      <c r="I118" s="84"/>
      <c r="J118" s="84"/>
      <c r="K118" s="84"/>
      <c r="L118" s="84"/>
      <c r="M118" s="84"/>
      <c r="N118" s="85"/>
    </row>
    <row r="119" ht="16.5" customHeight="1">
      <c r="B119" s="149" t="s">
        <v>632</v>
      </c>
      <c r="C119" s="84"/>
      <c r="D119" s="84"/>
      <c r="E119" s="84"/>
      <c r="F119" s="84"/>
      <c r="G119" s="84"/>
      <c r="H119" s="84"/>
      <c r="I119" s="84"/>
      <c r="J119" s="84"/>
      <c r="K119" s="84"/>
      <c r="L119" s="84"/>
      <c r="M119" s="84"/>
      <c r="N119" s="85"/>
    </row>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0">
    <mergeCell ref="E85:N85"/>
    <mergeCell ref="E86:N86"/>
    <mergeCell ref="E87:N87"/>
    <mergeCell ref="E88:N88"/>
    <mergeCell ref="E89:N89"/>
    <mergeCell ref="E90:N90"/>
    <mergeCell ref="E91:N91"/>
    <mergeCell ref="E92:N92"/>
    <mergeCell ref="E93:N93"/>
    <mergeCell ref="E94:N94"/>
    <mergeCell ref="E95:N95"/>
    <mergeCell ref="E96:N96"/>
    <mergeCell ref="E97:N97"/>
    <mergeCell ref="E98:N98"/>
    <mergeCell ref="J105:N105"/>
    <mergeCell ref="J106:N106"/>
    <mergeCell ref="E99:N99"/>
    <mergeCell ref="E100:N100"/>
    <mergeCell ref="E101:N101"/>
    <mergeCell ref="E102:N102"/>
    <mergeCell ref="B104:N104"/>
    <mergeCell ref="C105:H105"/>
    <mergeCell ref="C106:H106"/>
    <mergeCell ref="C110:H110"/>
    <mergeCell ref="C111:H111"/>
    <mergeCell ref="C112:H112"/>
    <mergeCell ref="C113:H113"/>
    <mergeCell ref="J111:N111"/>
    <mergeCell ref="J112:N112"/>
    <mergeCell ref="J113:N113"/>
    <mergeCell ref="B115:N115"/>
    <mergeCell ref="B116:N116"/>
    <mergeCell ref="B117:N117"/>
    <mergeCell ref="B118:N118"/>
    <mergeCell ref="B119:N119"/>
    <mergeCell ref="C107:H107"/>
    <mergeCell ref="J107:N107"/>
    <mergeCell ref="C108:H108"/>
    <mergeCell ref="J108:N108"/>
    <mergeCell ref="C109:H109"/>
    <mergeCell ref="J109:N109"/>
    <mergeCell ref="J110:N110"/>
    <mergeCell ref="B1:N1"/>
    <mergeCell ref="B2:N2"/>
    <mergeCell ref="C4:D4"/>
    <mergeCell ref="E4:F4"/>
    <mergeCell ref="G4:H4"/>
    <mergeCell ref="J4:K4"/>
    <mergeCell ref="L4:N4"/>
    <mergeCell ref="J5:K5"/>
    <mergeCell ref="J6:K6"/>
    <mergeCell ref="J10:N16"/>
    <mergeCell ref="J17:N23"/>
    <mergeCell ref="J24:N30"/>
    <mergeCell ref="J31:N37"/>
    <mergeCell ref="C5:D5"/>
    <mergeCell ref="E5:F5"/>
    <mergeCell ref="G5:H5"/>
    <mergeCell ref="L5:N5"/>
    <mergeCell ref="C6:D6"/>
    <mergeCell ref="E6:F6"/>
    <mergeCell ref="G6:H6"/>
    <mergeCell ref="L6:N6"/>
    <mergeCell ref="B8:N8"/>
    <mergeCell ref="J9:N9"/>
    <mergeCell ref="B10:H10"/>
    <mergeCell ref="B14:H14"/>
    <mergeCell ref="B31:H31"/>
    <mergeCell ref="B40:N40"/>
    <mergeCell ref="J41:N41"/>
    <mergeCell ref="B42:H42"/>
    <mergeCell ref="J42:M42"/>
    <mergeCell ref="J43:M43"/>
    <mergeCell ref="J44:M44"/>
    <mergeCell ref="J45:M45"/>
    <mergeCell ref="J46:M46"/>
    <mergeCell ref="J48:N48"/>
    <mergeCell ref="J49:M49"/>
    <mergeCell ref="B50:H50"/>
    <mergeCell ref="J50:M50"/>
    <mergeCell ref="J51:N51"/>
    <mergeCell ref="B57:H57"/>
    <mergeCell ref="B65:H65"/>
    <mergeCell ref="B70:N70"/>
    <mergeCell ref="J71:N71"/>
    <mergeCell ref="J72:N79"/>
    <mergeCell ref="B81:N81"/>
    <mergeCell ref="E82:N82"/>
    <mergeCell ref="E83:N83"/>
    <mergeCell ref="E84:N84"/>
  </mergeCells>
  <conditionalFormatting sqref="D34:H34">
    <cfRule type="expression" dxfId="0" priority="1">
      <formula>OR(LEFT(D34,3)="NOT",D34="FAIL",D34="CHECK",D34="No",D34="Not eligible")</formula>
    </cfRule>
  </conditionalFormatting>
  <conditionalFormatting sqref="D38:H38">
    <cfRule type="expression" dxfId="0" priority="2">
      <formula>OR(LEFT(D38,3)="NOT",D38="FAIL",D38="CHECK",D38="No",D38="Not eligible")</formula>
    </cfRule>
  </conditionalFormatting>
  <conditionalFormatting sqref="N50">
    <cfRule type="expression" dxfId="0" priority="3">
      <formula>OR(LEFT(N50,3)="NOT",N50="FAIL",N50="CHECK",N50="No",N50="Not eligible")</formula>
    </cfRule>
  </conditionalFormatting>
  <hyperlinks>
    <hyperlink r:id="rId1" ref="E95"/>
    <hyperlink r:id="rId2" ref="E96"/>
    <hyperlink r:id="rId3" ref="E98"/>
    <hyperlink r:id="rId4" ref="J110"/>
    <hyperlink r:id="rId5" ref="J111"/>
    <hyperlink r:id="rId6" ref="B117"/>
    <hyperlink r:id="rId7" ref="B118"/>
    <hyperlink r:id="rId8" ref="B119"/>
  </hyperlinks>
  <printOptions/>
  <pageMargins bottom="0.5" footer="0.0" header="0.0" left="0.4" right="0.4" top="0.5"/>
  <pageSetup fitToHeight="0" paperSize="9" orientation="landscape"/>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pageSetUpPr fitToPage="1"/>
  </sheetPr>
  <sheetViews>
    <sheetView showGridLines="0" workbookViewId="0"/>
  </sheetViews>
  <sheetFormatPr customHeight="1" defaultColWidth="14.43" defaultRowHeight="15.0"/>
  <cols>
    <col customWidth="1" min="1" max="1" width="2.0"/>
    <col customWidth="1" min="2" max="2" width="53.43"/>
    <col customWidth="1" min="3" max="3" width="14.0"/>
    <col customWidth="1" min="4" max="8" width="15.71"/>
    <col customWidth="1" min="9" max="9" width="14.57"/>
    <col customWidth="1" min="10" max="13" width="13.0"/>
    <col customWidth="1" min="14" max="14" width="12.29"/>
    <col customWidth="1" min="15" max="15" width="13.0"/>
    <col customWidth="1" min="16" max="26" width="8.71"/>
  </cols>
  <sheetData>
    <row r="1" ht="30.0" customHeight="1">
      <c r="A1" s="37"/>
      <c r="B1" s="38" t="s">
        <v>285</v>
      </c>
      <c r="C1" s="39"/>
      <c r="D1" s="39"/>
      <c r="E1" s="39"/>
      <c r="F1" s="39"/>
      <c r="G1" s="39"/>
      <c r="H1" s="39"/>
      <c r="I1" s="39"/>
      <c r="J1" s="39"/>
      <c r="K1" s="39"/>
      <c r="L1" s="39"/>
      <c r="M1" s="39"/>
      <c r="N1" s="39"/>
      <c r="O1" s="40"/>
    </row>
    <row r="2" ht="16.5" customHeight="1">
      <c r="B2" s="129" t="s">
        <v>303</v>
      </c>
      <c r="C2" s="39"/>
      <c r="D2" s="39"/>
      <c r="E2" s="39"/>
      <c r="F2" s="39"/>
      <c r="G2" s="39"/>
      <c r="H2" s="39"/>
      <c r="I2" s="39"/>
      <c r="J2" s="39"/>
      <c r="K2" s="39"/>
      <c r="L2" s="39"/>
      <c r="M2" s="39"/>
      <c r="N2" s="39"/>
      <c r="O2" s="40"/>
    </row>
    <row r="3" ht="14.25" customHeight="1"/>
    <row r="4" ht="25.5" customHeight="1">
      <c r="B4" s="42" t="s">
        <v>304</v>
      </c>
      <c r="C4" s="43" t="s">
        <v>305</v>
      </c>
      <c r="D4" s="40"/>
      <c r="E4" s="43" t="s">
        <v>306</v>
      </c>
      <c r="F4" s="40"/>
      <c r="G4" s="43" t="s">
        <v>308</v>
      </c>
      <c r="H4" s="39"/>
      <c r="I4" s="40"/>
      <c r="J4" s="43" t="s">
        <v>309</v>
      </c>
      <c r="K4" s="39"/>
      <c r="L4" s="40"/>
      <c r="M4" s="43" t="s">
        <v>310</v>
      </c>
      <c r="N4" s="39"/>
      <c r="O4" s="40"/>
    </row>
    <row r="5" ht="33.75" customHeight="1">
      <c r="B5" s="130">
        <f>I20</f>
        <v>69566893.6</v>
      </c>
      <c r="C5" s="131">
        <f>I58</f>
        <v>21018223.19</v>
      </c>
      <c r="D5" s="40"/>
      <c r="E5" s="131">
        <f>I59</f>
        <v>40647629.78</v>
      </c>
      <c r="F5" s="40"/>
      <c r="G5" s="99">
        <f>I35</f>
        <v>6590768.23</v>
      </c>
      <c r="H5" s="39"/>
      <c r="I5" s="40"/>
      <c r="J5" s="100" t="str">
        <f>C41</f>
        <v>2030</v>
      </c>
      <c r="K5" s="39"/>
      <c r="L5" s="40"/>
      <c r="M5" s="46">
        <f>H14/C14-1</f>
        <v>-0.513613</v>
      </c>
      <c r="N5" s="39"/>
      <c r="O5" s="40"/>
    </row>
    <row r="6" ht="30.0" customHeight="1">
      <c r="B6" s="101" t="s">
        <v>314</v>
      </c>
      <c r="C6" s="102" t="str">
        <f>"Revenue at risk; gross profit "&amp;TEXT(I62/1000000,"0.0")&amp;"M"</f>
        <v>Revenue at risk; gross profit 4.6M</v>
      </c>
      <c r="D6" s="40"/>
      <c r="E6" s="102" t="str">
        <f>"Revenue at risk; gross profit "&amp;TEXT(I63/1000000,"0.0")&amp;"M"</f>
        <v>Revenue at risk; gross profit 8.8M</v>
      </c>
      <c r="F6" s="40"/>
      <c r="G6" s="102" t="s">
        <v>316</v>
      </c>
      <c r="H6" s="39"/>
      <c r="I6" s="40"/>
      <c r="J6" s="102" t="s">
        <v>317</v>
      </c>
      <c r="K6" s="39"/>
      <c r="L6" s="40"/>
      <c r="M6" s="102" t="s">
        <v>318</v>
      </c>
      <c r="N6" s="39"/>
      <c r="O6" s="40"/>
    </row>
    <row r="7" ht="14.25" customHeight="1"/>
    <row r="8" ht="21.75" customHeight="1">
      <c r="B8" s="50" t="s">
        <v>319</v>
      </c>
      <c r="C8" s="39"/>
      <c r="D8" s="39"/>
      <c r="E8" s="39"/>
      <c r="F8" s="39"/>
      <c r="G8" s="39"/>
      <c r="H8" s="39"/>
      <c r="I8" s="39"/>
      <c r="J8" s="39"/>
      <c r="K8" s="39"/>
      <c r="L8" s="39"/>
      <c r="M8" s="39"/>
      <c r="N8" s="39"/>
      <c r="O8" s="40"/>
    </row>
    <row r="9" ht="30.0" customHeight="1">
      <c r="B9" s="51" t="s">
        <v>0</v>
      </c>
      <c r="C9" s="51" t="s">
        <v>164</v>
      </c>
      <c r="D9" s="51" t="s">
        <v>165</v>
      </c>
      <c r="E9" s="51" t="s">
        <v>166</v>
      </c>
      <c r="F9" s="51" t="s">
        <v>167</v>
      </c>
      <c r="G9" s="51" t="s">
        <v>168</v>
      </c>
      <c r="H9" s="51" t="s">
        <v>169</v>
      </c>
      <c r="I9" s="51" t="s">
        <v>321</v>
      </c>
      <c r="J9" s="54" t="s">
        <v>125</v>
      </c>
      <c r="K9" s="39"/>
      <c r="L9" s="39"/>
      <c r="M9" s="39"/>
      <c r="N9" s="39"/>
      <c r="O9" s="40"/>
    </row>
    <row r="10" ht="14.25" customHeight="1">
      <c r="B10" s="104" t="s">
        <v>322</v>
      </c>
      <c r="C10" s="39"/>
      <c r="D10" s="39"/>
      <c r="E10" s="39"/>
      <c r="F10" s="39"/>
      <c r="G10" s="39"/>
      <c r="H10" s="39"/>
      <c r="I10" s="40"/>
      <c r="J10" s="59" t="str">
        <f>"1. Without ESG, LSC orders fall to "&amp;TEXT(H14/1000000,"0.00")&amp;"M pcs by 2031 ("&amp;TEXT(H14/C14-1,"0%")&amp;" vs 2026), and the coal plant breaches the buyer intensity cap in every year from 2027, so even that volume is exposed to reallocation (Emission Target H7:H11)."</f>
        <v>1. Without ESG, LSC orders fall to 2.44M pcs by 2031 (-51% vs 2026), and the coal plant breaches the buyer intensity cap in every year from 2027, so even that volume is exposed to reallocation (Emission Target H7:H11).</v>
      </c>
      <c r="K10" s="60"/>
      <c r="L10" s="60"/>
      <c r="M10" s="60"/>
      <c r="N10" s="60"/>
      <c r="O10" s="61"/>
    </row>
    <row r="11" ht="33.0" customHeight="1">
      <c r="B11" s="55" t="s">
        <v>323</v>
      </c>
      <c r="C11" s="56">
        <f>'Task 2_Conversion &amp; Forecast'!C11</f>
        <v>5020000</v>
      </c>
      <c r="D11" s="56">
        <f>'Task 2_Conversion &amp; Forecast'!D11</f>
        <v>6124400</v>
      </c>
      <c r="E11" s="56">
        <f>'Task 2_Conversion &amp; Forecast'!E11</f>
        <v>7655500</v>
      </c>
      <c r="F11" s="56">
        <f>'Task 2_Conversion &amp; Forecast'!F11</f>
        <v>9799040</v>
      </c>
      <c r="G11" s="56">
        <f>'Task 2_Conversion &amp; Forecast'!G11</f>
        <v>10419645.87</v>
      </c>
      <c r="H11" s="56">
        <f>'Task 2_Conversion &amp; Forecast'!H11</f>
        <v>11079556.77</v>
      </c>
      <c r="I11" s="118"/>
      <c r="J11" s="132"/>
      <c r="O11" s="133"/>
    </row>
    <row r="12" ht="18.0" customHeight="1">
      <c r="B12" s="73" t="s">
        <v>324</v>
      </c>
      <c r="C12" s="56">
        <f>'Task 2_Conversion &amp; Forecast'!C19</f>
        <v>5020000</v>
      </c>
      <c r="D12" s="56">
        <f>'Task 2_Conversion &amp; Forecast'!D19</f>
        <v>5622400</v>
      </c>
      <c r="E12" s="56">
        <f>'Task 2_Conversion &amp; Forecast'!E19</f>
        <v>6920572</v>
      </c>
      <c r="F12" s="56">
        <f>'Task 2_Conversion &amp; Forecast'!F19</f>
        <v>8650715</v>
      </c>
      <c r="G12" s="56">
        <f>'Task 2_Conversion &amp; Forecast'!G19</f>
        <v>7656804.013</v>
      </c>
      <c r="H12" s="56">
        <f>'Task 2_Conversion &amp; Forecast'!H19</f>
        <v>6125443.21</v>
      </c>
      <c r="I12" s="134">
        <f>SUM(D12:H12)</f>
        <v>34975934.22</v>
      </c>
      <c r="J12" s="132"/>
      <c r="O12" s="133"/>
    </row>
    <row r="13" ht="18.0" customHeight="1">
      <c r="B13" s="55" t="s">
        <v>325</v>
      </c>
      <c r="C13" s="67"/>
      <c r="D13" s="67">
        <f>'Sales Forecast &amp; Case 2A KPI'!B10</f>
        <v>-0.1</v>
      </c>
      <c r="E13" s="67">
        <f>'Sales Forecast &amp; Case 2A KPI'!B11</f>
        <v>-0.12</v>
      </c>
      <c r="F13" s="67">
        <f>'Sales Forecast &amp; Case 2A KPI'!B12</f>
        <v>-0.15</v>
      </c>
      <c r="G13" s="67">
        <f t="shared" ref="G13:H13" si="1">$C$98</f>
        <v>-0.15</v>
      </c>
      <c r="H13" s="67">
        <f t="shared" si="1"/>
        <v>-0.15</v>
      </c>
      <c r="I13" s="118"/>
      <c r="J13" s="132"/>
      <c r="O13" s="133"/>
    </row>
    <row r="14" ht="18.0" customHeight="1">
      <c r="B14" s="73" t="s">
        <v>334</v>
      </c>
      <c r="C14" s="56">
        <f>'Sales Forecast &amp; Case 2A KPI'!C21</f>
        <v>5020000</v>
      </c>
      <c r="D14" s="56">
        <f>'Sales Forecast &amp; Case 2A KPI'!G21</f>
        <v>4518000</v>
      </c>
      <c r="E14" s="56">
        <f>'Sales Forecast &amp; Case 2A KPI'!H21</f>
        <v>3975840</v>
      </c>
      <c r="F14" s="56">
        <f>'Sales Forecast &amp; Case 2A KPI'!I21</f>
        <v>3379464</v>
      </c>
      <c r="G14" s="80">
        <f t="shared" ref="G14:H14" si="2">F14*(1+G13)</f>
        <v>2872544.4</v>
      </c>
      <c r="H14" s="80">
        <f t="shared" si="2"/>
        <v>2441662.74</v>
      </c>
      <c r="I14" s="134">
        <f t="shared" ref="I14:I15" si="4">SUM(D14:H14)</f>
        <v>17187511.14</v>
      </c>
      <c r="J14" s="132"/>
      <c r="O14" s="133"/>
    </row>
    <row r="15" ht="18.0" customHeight="1">
      <c r="B15" s="55" t="s">
        <v>335</v>
      </c>
      <c r="C15" s="134">
        <f t="shared" ref="C15:H15" si="3">C12-C14</f>
        <v>0</v>
      </c>
      <c r="D15" s="134">
        <f t="shared" si="3"/>
        <v>1104400</v>
      </c>
      <c r="E15" s="134">
        <f t="shared" si="3"/>
        <v>2944732</v>
      </c>
      <c r="F15" s="134">
        <f t="shared" si="3"/>
        <v>5271251</v>
      </c>
      <c r="G15" s="134">
        <f t="shared" si="3"/>
        <v>4784259.613</v>
      </c>
      <c r="H15" s="134">
        <f t="shared" si="3"/>
        <v>3683780.47</v>
      </c>
      <c r="I15" s="134">
        <f t="shared" si="4"/>
        <v>17788423.08</v>
      </c>
      <c r="J15" s="132"/>
      <c r="O15" s="133"/>
    </row>
    <row r="16" ht="18.0" customHeight="1">
      <c r="B16" s="55" t="s">
        <v>336</v>
      </c>
      <c r="C16" s="81">
        <f t="shared" ref="C16:H16" si="5">C12/C14</f>
        <v>1</v>
      </c>
      <c r="D16" s="81">
        <f t="shared" si="5"/>
        <v>1.244444444</v>
      </c>
      <c r="E16" s="81">
        <f t="shared" si="5"/>
        <v>1.740656566</v>
      </c>
      <c r="F16" s="81">
        <f t="shared" si="5"/>
        <v>2.559789067</v>
      </c>
      <c r="G16" s="81">
        <f t="shared" si="5"/>
        <v>2.665512851</v>
      </c>
      <c r="H16" s="81">
        <f t="shared" si="5"/>
        <v>2.508717977</v>
      </c>
      <c r="I16" s="118"/>
      <c r="J16" s="62"/>
      <c r="K16" s="63"/>
      <c r="L16" s="63"/>
      <c r="M16" s="63"/>
      <c r="N16" s="63"/>
      <c r="O16" s="64"/>
    </row>
    <row r="17" ht="14.25" customHeight="1">
      <c r="B17" s="104" t="s">
        <v>337</v>
      </c>
      <c r="C17" s="39"/>
      <c r="D17" s="39"/>
      <c r="E17" s="39"/>
      <c r="F17" s="39"/>
      <c r="G17" s="39"/>
      <c r="H17" s="39"/>
      <c r="I17" s="40"/>
      <c r="J17" s="59" t="str">
        <f>"2. Revenue at risk without ESG is USD "&amp;TEXT(I20/1000000,"0.0")&amp;"M over 2027–2031; "&amp;TEXT(I22/I20,"0%")&amp;" is the lost ESG premium and the rest lost volume. In 2029 alone it is USD "&amp;TEXT(F20/1000000,"0.0")&amp;"M, "&amp;TEXT(F23,"0%")&amp;" of ESG-pathway revenue."</f>
        <v>2. Revenue at risk without ESG is USD 69.6M over 2027–2031; 4% is the lost ESG premium and the rest lost volume. In 2029 alone it is USD 20.5M, 62% of ESG-pathway revenue.</v>
      </c>
      <c r="K17" s="60"/>
      <c r="L17" s="60"/>
      <c r="M17" s="60"/>
      <c r="N17" s="60"/>
      <c r="O17" s="61"/>
    </row>
    <row r="18" ht="18.0" customHeight="1">
      <c r="B18" s="55" t="s">
        <v>338</v>
      </c>
      <c r="C18" s="109">
        <f>'Task 3_P&amp;L'!C15</f>
        <v>19284263.88</v>
      </c>
      <c r="D18" s="109">
        <f>'Task 3_P&amp;L'!D15</f>
        <v>21598375.54</v>
      </c>
      <c r="E18" s="109">
        <f>'Task 3_P&amp;L'!E15</f>
        <v>26585286.18</v>
      </c>
      <c r="F18" s="109">
        <f>'Task 3_P&amp;L'!F15</f>
        <v>33231607.73</v>
      </c>
      <c r="G18" s="109">
        <f>'Task 3_P&amp;L'!G15</f>
        <v>29413511.76</v>
      </c>
      <c r="H18" s="109">
        <f>'Task 3_P&amp;L'!H15</f>
        <v>23530809.41</v>
      </c>
      <c r="I18" s="110">
        <f t="shared" ref="I18:I22" si="7">SUM(D18:H18)</f>
        <v>134359590.6</v>
      </c>
      <c r="J18" s="132"/>
      <c r="O18" s="133"/>
    </row>
    <row r="19" ht="18.0" customHeight="1">
      <c r="B19" s="55" t="s">
        <v>339</v>
      </c>
      <c r="C19" s="109">
        <f>'Task 3_P&amp;L'!C15</f>
        <v>19284263.88</v>
      </c>
      <c r="D19" s="111">
        <f t="shared" ref="D19:H19" si="6">D14*$C$95</f>
        <v>17031750.72</v>
      </c>
      <c r="E19" s="111">
        <f t="shared" si="6"/>
        <v>14987940.63</v>
      </c>
      <c r="F19" s="111">
        <f t="shared" si="6"/>
        <v>12739749.54</v>
      </c>
      <c r="G19" s="111">
        <f t="shared" si="6"/>
        <v>10828787.11</v>
      </c>
      <c r="H19" s="111">
        <f t="shared" si="6"/>
        <v>9204469.04</v>
      </c>
      <c r="I19" s="110">
        <f t="shared" si="7"/>
        <v>64792697.03</v>
      </c>
      <c r="J19" s="132"/>
      <c r="O19" s="133"/>
    </row>
    <row r="20" ht="18.0" customHeight="1">
      <c r="B20" s="78" t="s">
        <v>344</v>
      </c>
      <c r="C20" s="117">
        <f t="shared" ref="C20:H20" si="8">C18-C19</f>
        <v>0</v>
      </c>
      <c r="D20" s="117">
        <f t="shared" si="8"/>
        <v>4566624.827</v>
      </c>
      <c r="E20" s="117">
        <f t="shared" si="8"/>
        <v>11597345.55</v>
      </c>
      <c r="F20" s="117">
        <f t="shared" si="8"/>
        <v>20491858.19</v>
      </c>
      <c r="G20" s="117">
        <f t="shared" si="8"/>
        <v>18584724.66</v>
      </c>
      <c r="H20" s="117">
        <f t="shared" si="8"/>
        <v>14326340.37</v>
      </c>
      <c r="I20" s="110">
        <f t="shared" si="7"/>
        <v>69566893.6</v>
      </c>
      <c r="J20" s="132"/>
      <c r="O20" s="133"/>
    </row>
    <row r="21" ht="18.0" customHeight="1">
      <c r="B21" s="122" t="s">
        <v>345</v>
      </c>
      <c r="C21" s="111"/>
      <c r="D21" s="111">
        <f t="shared" ref="D21:H21" si="9">(D12-D14)*$C$95</f>
        <v>4163316.842</v>
      </c>
      <c r="E21" s="111">
        <f t="shared" si="9"/>
        <v>11100916.63</v>
      </c>
      <c r="F21" s="111">
        <f t="shared" si="9"/>
        <v>19871322.04</v>
      </c>
      <c r="G21" s="111">
        <f t="shared" si="9"/>
        <v>18035484.08</v>
      </c>
      <c r="H21" s="111">
        <f t="shared" si="9"/>
        <v>13886947.91</v>
      </c>
      <c r="I21" s="110">
        <f t="shared" si="7"/>
        <v>67057987.52</v>
      </c>
      <c r="J21" s="132"/>
      <c r="O21" s="133"/>
    </row>
    <row r="22" ht="18.0" customHeight="1">
      <c r="B22" s="122" t="s">
        <v>347</v>
      </c>
      <c r="C22" s="111"/>
      <c r="D22" s="111">
        <f t="shared" ref="D22:H22" si="10">D12*($C$94-$C$95)</f>
        <v>403307.9855</v>
      </c>
      <c r="E22" s="111">
        <f t="shared" si="10"/>
        <v>496428.9186</v>
      </c>
      <c r="F22" s="111">
        <f t="shared" si="10"/>
        <v>620536.1482</v>
      </c>
      <c r="G22" s="111">
        <f t="shared" si="10"/>
        <v>549240.5737</v>
      </c>
      <c r="H22" s="111">
        <f t="shared" si="10"/>
        <v>439392.459</v>
      </c>
      <c r="I22" s="110">
        <f t="shared" si="7"/>
        <v>2508906.085</v>
      </c>
      <c r="J22" s="132"/>
      <c r="O22" s="133"/>
    </row>
    <row r="23" ht="18.0" customHeight="1">
      <c r="B23" s="55" t="s">
        <v>352</v>
      </c>
      <c r="C23" s="70">
        <f t="shared" ref="C23:H23" si="11">C20/C18</f>
        <v>0</v>
      </c>
      <c r="D23" s="70">
        <f t="shared" si="11"/>
        <v>0.2114337172</v>
      </c>
      <c r="E23" s="70">
        <f t="shared" si="11"/>
        <v>0.4362317363</v>
      </c>
      <c r="F23" s="70">
        <f t="shared" si="11"/>
        <v>0.6166375807</v>
      </c>
      <c r="G23" s="70">
        <f t="shared" si="11"/>
        <v>0.6318431069</v>
      </c>
      <c r="H23" s="70">
        <f t="shared" si="11"/>
        <v>0.6088333011</v>
      </c>
      <c r="I23" s="118"/>
      <c r="J23" s="62"/>
      <c r="K23" s="63"/>
      <c r="L23" s="63"/>
      <c r="M23" s="63"/>
      <c r="N23" s="63"/>
      <c r="O23" s="64"/>
    </row>
    <row r="24" ht="18.0" customHeight="1">
      <c r="B24" s="55" t="s">
        <v>353</v>
      </c>
      <c r="C24" s="81">
        <f>C18/C$18</f>
        <v>1</v>
      </c>
      <c r="D24" s="81">
        <f>D18/C$18</f>
        <v>1.12</v>
      </c>
      <c r="E24" s="81">
        <f>E18/C$18</f>
        <v>1.3786</v>
      </c>
      <c r="F24" s="81">
        <f>F18/C$18</f>
        <v>1.72325</v>
      </c>
      <c r="G24" s="81">
        <f>G18/C$18</f>
        <v>1.525259764</v>
      </c>
      <c r="H24" s="81">
        <f>H18/C$18</f>
        <v>1.220207811</v>
      </c>
      <c r="I24" s="118"/>
      <c r="J24" s="59" t="str">
        <f>"3. After all ESG OPEX and depreciation the ESG pathway earns USD "&amp;TEXT(I35/1000000,"0.0")&amp;"M more net profit than Traditional, and the investment (CAPEX plus the working capital that growth needs) pays back in "&amp;C41&amp;" on incremental free cash flow."</f>
        <v>3. After all ESG OPEX and depreciation the ESG pathway earns USD 6.6M more net profit than Traditional, and the investment (CAPEX plus the working capital that growth needs) pays back in 2030 on incremental free cash flow.</v>
      </c>
      <c r="K24" s="60"/>
      <c r="L24" s="60"/>
      <c r="M24" s="60"/>
      <c r="N24" s="60"/>
      <c r="O24" s="61"/>
    </row>
    <row r="25" ht="18.0" customHeight="1">
      <c r="B25" s="55" t="s">
        <v>371</v>
      </c>
      <c r="C25" s="81">
        <f>C19/C$19</f>
        <v>1</v>
      </c>
      <c r="D25" s="81">
        <f>D19/C$19</f>
        <v>0.8831942367</v>
      </c>
      <c r="E25" s="81">
        <f>E19/C$19</f>
        <v>0.7772109283</v>
      </c>
      <c r="F25" s="81">
        <f>F19/C$19</f>
        <v>0.6606292891</v>
      </c>
      <c r="G25" s="81">
        <f>G19/C$19</f>
        <v>0.5615348957</v>
      </c>
      <c r="H25" s="81">
        <f>H19/C$19</f>
        <v>0.4773046613</v>
      </c>
      <c r="I25" s="118"/>
      <c r="J25" s="132"/>
      <c r="O25" s="133"/>
    </row>
    <row r="26" ht="14.25" customHeight="1">
      <c r="B26" s="104" t="s">
        <v>373</v>
      </c>
      <c r="C26" s="39"/>
      <c r="D26" s="39"/>
      <c r="E26" s="39"/>
      <c r="F26" s="39"/>
      <c r="G26" s="39"/>
      <c r="H26" s="39"/>
      <c r="I26" s="40"/>
      <c r="J26" s="132"/>
      <c r="O26" s="133"/>
    </row>
    <row r="27" ht="18.0" customHeight="1">
      <c r="B27" s="55" t="s">
        <v>374</v>
      </c>
      <c r="C27" s="109">
        <f>'Task 3_P&amp;L'!C29</f>
        <v>2088727.366</v>
      </c>
      <c r="D27" s="109">
        <f>'Task 3_P&amp;L'!D29</f>
        <v>2052324.44</v>
      </c>
      <c r="E27" s="109">
        <f>'Task 3_P&amp;L'!E29</f>
        <v>2470274.161</v>
      </c>
      <c r="F27" s="109">
        <f>'Task 3_P&amp;L'!F29</f>
        <v>3061159.56</v>
      </c>
      <c r="G27" s="109">
        <f>'Task 3_P&amp;L'!G29</f>
        <v>2652169.649</v>
      </c>
      <c r="H27" s="109">
        <f>'Task 3_P&amp;L'!H29</f>
        <v>2019646.526</v>
      </c>
      <c r="I27" s="110">
        <f>SUM(D27:H27)</f>
        <v>12255574.34</v>
      </c>
      <c r="J27" s="132"/>
      <c r="O27" s="133"/>
    </row>
    <row r="28" ht="18.0" customHeight="1">
      <c r="B28" s="55" t="s">
        <v>376</v>
      </c>
      <c r="C28" s="142">
        <f>'Task 3_P&amp;L'!C30</f>
        <v>0.1083125277</v>
      </c>
      <c r="D28" s="142">
        <f>'Task 3_P&amp;L'!D30</f>
        <v>0.09502216663</v>
      </c>
      <c r="E28" s="142">
        <f>'Task 3_P&amp;L'!E30</f>
        <v>0.09291884783</v>
      </c>
      <c r="F28" s="142">
        <f>'Task 3_P&amp;L'!F30</f>
        <v>0.09211590317</v>
      </c>
      <c r="G28" s="142">
        <f>'Task 3_P&amp;L'!G30</f>
        <v>0.09016841207</v>
      </c>
      <c r="H28" s="142">
        <f>'Task 3_P&amp;L'!H30</f>
        <v>0.08582987908</v>
      </c>
      <c r="I28" s="118"/>
      <c r="J28" s="132"/>
      <c r="O28" s="133"/>
    </row>
    <row r="29" ht="18.0" customHeight="1">
      <c r="B29" s="55" t="s">
        <v>378</v>
      </c>
      <c r="C29" s="111">
        <f t="shared" ref="C29:H29" si="12">C19-C14*$C$97</f>
        <v>3960807.679</v>
      </c>
      <c r="D29" s="111">
        <f t="shared" si="12"/>
        <v>3240640.137</v>
      </c>
      <c r="E29" s="111">
        <f t="shared" si="12"/>
        <v>2851763.32</v>
      </c>
      <c r="F29" s="111">
        <f t="shared" si="12"/>
        <v>2423998.822</v>
      </c>
      <c r="G29" s="111">
        <f t="shared" si="12"/>
        <v>2060398.999</v>
      </c>
      <c r="H29" s="111">
        <f t="shared" si="12"/>
        <v>1751339.149</v>
      </c>
      <c r="I29" s="118"/>
      <c r="J29" s="132"/>
      <c r="O29" s="133"/>
    </row>
    <row r="30" ht="18.0" customHeight="1">
      <c r="B30" s="55" t="s">
        <v>380</v>
      </c>
      <c r="C30" s="111">
        <f>'Task 3_P&amp;L'!$C$95*C19+'Task 3_P&amp;L'!$C$96*'Task 3_P&amp;L'!$C$15*('Task 3_P&amp;L'!$C$97+(1-'Task 3_P&amp;L'!$C$97)*C19/'Task 3_P&amp;L'!$C$15)</f>
        <v>1349898.472</v>
      </c>
      <c r="D30" s="111">
        <f>'Task 3_P&amp;L'!$C$95*D19+'Task 3_P&amp;L'!$C$96*'Task 3_P&amp;L'!$C$15*('Task 3_P&amp;L'!$C$97+(1-'Task 3_P&amp;L'!$C$97)*D19/'Task 3_P&amp;L'!$C$15)</f>
        <v>1242904.096</v>
      </c>
      <c r="E30" s="111">
        <f>'Task 3_P&amp;L'!$C$95*E19+'Task 3_P&amp;L'!$C$96*'Task 3_P&amp;L'!$C$15*('Task 3_P&amp;L'!$C$97+(1-'Task 3_P&amp;L'!$C$97)*E19/'Task 3_P&amp;L'!$C$15)</f>
        <v>1145823.117</v>
      </c>
      <c r="F30" s="111">
        <f>'Task 3_P&amp;L'!$C$95*F19+'Task 3_P&amp;L'!$C$96*'Task 3_P&amp;L'!$C$15*('Task 3_P&amp;L'!$C$97+(1-'Task 3_P&amp;L'!$C$97)*F19/'Task 3_P&amp;L'!$C$15)</f>
        <v>1039034.04</v>
      </c>
      <c r="G30" s="111">
        <f>'Task 3_P&amp;L'!$C$95*G19+'Task 3_P&amp;L'!$C$96*'Task 3_P&amp;L'!$C$15*('Task 3_P&amp;L'!$C$97+(1-'Task 3_P&amp;L'!$C$97)*G19/'Task 3_P&amp;L'!$C$15)</f>
        <v>948263.3248</v>
      </c>
      <c r="H30" s="111">
        <f>'Task 3_P&amp;L'!$C$95*H19+'Task 3_P&amp;L'!$C$96*'Task 3_P&amp;L'!$C$15*('Task 3_P&amp;L'!$C$97+(1-'Task 3_P&amp;L'!$C$97)*H19/'Task 3_P&amp;L'!$C$15)</f>
        <v>871108.2167</v>
      </c>
      <c r="I30" s="118"/>
      <c r="J30" s="62"/>
      <c r="K30" s="63"/>
      <c r="L30" s="63"/>
      <c r="M30" s="63"/>
      <c r="N30" s="63"/>
      <c r="O30" s="64"/>
    </row>
    <row r="31" ht="18.0" customHeight="1">
      <c r="B31" s="55" t="s">
        <v>405</v>
      </c>
      <c r="C31" s="111">
        <f t="shared" ref="C31:H31" si="13">C29-C30</f>
        <v>2610909.207</v>
      </c>
      <c r="D31" s="111">
        <f t="shared" si="13"/>
        <v>1997736.041</v>
      </c>
      <c r="E31" s="111">
        <f t="shared" si="13"/>
        <v>1705940.203</v>
      </c>
      <c r="F31" s="111">
        <f t="shared" si="13"/>
        <v>1384964.782</v>
      </c>
      <c r="G31" s="111">
        <f t="shared" si="13"/>
        <v>1112135.674</v>
      </c>
      <c r="H31" s="111">
        <f t="shared" si="13"/>
        <v>880230.9325</v>
      </c>
      <c r="I31" s="118"/>
      <c r="J31" s="59" t="str">
        <f>"4. Delay: one year puts USD "&amp;TEXT(I58/1000000,"0.0")&amp;"M of revenue at risk ("&amp;TEXT(I62/1000000,"0.0")&amp;"M gross profit); two years, USD "&amp;TEXT(I59/1000000,"0.0")&amp;"M ("&amp;TEXT(I63/1000000,"0.0")&amp;"M). The loss almost doubles with the second year because orders erode first and the ramp then restarts from a lower base."</f>
        <v>4. Delay: one year puts USD 21.0M of revenue at risk (4.6M gross profit); two years, USD 40.6M (8.8M). The loss almost doubles with the second year because orders erode first and the ramp then restarts from a lower base.</v>
      </c>
      <c r="K31" s="60"/>
      <c r="L31" s="60"/>
      <c r="M31" s="60"/>
      <c r="N31" s="60"/>
      <c r="O31" s="61"/>
    </row>
    <row r="32" ht="18.0" customHeight="1">
      <c r="B32" s="55" t="s">
        <v>407</v>
      </c>
      <c r="C32" s="111">
        <f>MAX(0,C31)*'Task 3_P&amp;L'!$C$98</f>
        <v>522181.8415</v>
      </c>
      <c r="D32" s="111">
        <f>MAX(0,D31)*'Task 3_P&amp;L'!$C$98</f>
        <v>399547.2081</v>
      </c>
      <c r="E32" s="111">
        <f>MAX(0,E31)*'Task 3_P&amp;L'!$C$98</f>
        <v>341188.0406</v>
      </c>
      <c r="F32" s="111">
        <f>MAX(0,F31)*'Task 3_P&amp;L'!$C$98</f>
        <v>276992.9564</v>
      </c>
      <c r="G32" s="111">
        <f>MAX(0,G31)*'Task 3_P&amp;L'!$C$98</f>
        <v>222427.1348</v>
      </c>
      <c r="H32" s="111">
        <f>MAX(0,H31)*'Task 3_P&amp;L'!$C$98</f>
        <v>176046.1865</v>
      </c>
      <c r="I32" s="118"/>
      <c r="J32" s="132"/>
      <c r="O32" s="133"/>
    </row>
    <row r="33" ht="18.0" customHeight="1">
      <c r="B33" s="73" t="s">
        <v>408</v>
      </c>
      <c r="C33" s="110">
        <f t="shared" ref="C33:H33" si="14">C31-C32</f>
        <v>2088727.366</v>
      </c>
      <c r="D33" s="110">
        <f t="shared" si="14"/>
        <v>1598188.832</v>
      </c>
      <c r="E33" s="110">
        <f t="shared" si="14"/>
        <v>1364752.163</v>
      </c>
      <c r="F33" s="110">
        <f t="shared" si="14"/>
        <v>1107971.826</v>
      </c>
      <c r="G33" s="110">
        <f t="shared" si="14"/>
        <v>889708.5394</v>
      </c>
      <c r="H33" s="110">
        <f t="shared" si="14"/>
        <v>704184.746</v>
      </c>
      <c r="I33" s="110">
        <f>SUM(D33:H33)</f>
        <v>5664806.106</v>
      </c>
      <c r="J33" s="132"/>
      <c r="O33" s="133"/>
    </row>
    <row r="34" ht="18.0" customHeight="1">
      <c r="B34" s="55" t="s">
        <v>436</v>
      </c>
      <c r="C34" s="114">
        <f t="shared" ref="C34:H34" si="15">C33/C19</f>
        <v>0.1083125277</v>
      </c>
      <c r="D34" s="114">
        <f t="shared" si="15"/>
        <v>0.09383585158</v>
      </c>
      <c r="E34" s="114">
        <f t="shared" si="15"/>
        <v>0.09105668325</v>
      </c>
      <c r="F34" s="114">
        <f t="shared" si="15"/>
        <v>0.08696967099</v>
      </c>
      <c r="G34" s="114">
        <f t="shared" si="15"/>
        <v>0.08216142128</v>
      </c>
      <c r="H34" s="114">
        <f t="shared" si="15"/>
        <v>0.07650465692</v>
      </c>
      <c r="I34" s="118"/>
      <c r="J34" s="132"/>
      <c r="O34" s="133"/>
    </row>
    <row r="35" ht="18.0" customHeight="1">
      <c r="B35" s="78" t="s">
        <v>437</v>
      </c>
      <c r="C35" s="117">
        <f t="shared" ref="C35:H35" si="16">C27-C33</f>
        <v>0</v>
      </c>
      <c r="D35" s="117">
        <f t="shared" si="16"/>
        <v>454135.6075</v>
      </c>
      <c r="E35" s="117">
        <f t="shared" si="16"/>
        <v>1105521.999</v>
      </c>
      <c r="F35" s="117">
        <f t="shared" si="16"/>
        <v>1953187.734</v>
      </c>
      <c r="G35" s="117">
        <f t="shared" si="16"/>
        <v>1762461.11</v>
      </c>
      <c r="H35" s="117">
        <f t="shared" si="16"/>
        <v>1315461.78</v>
      </c>
      <c r="I35" s="110">
        <f>SUM(D35:H35)</f>
        <v>6590768.23</v>
      </c>
      <c r="J35" s="132"/>
      <c r="O35" s="133"/>
    </row>
    <row r="36" ht="18.0" customHeight="1">
      <c r="B36" s="55" t="s">
        <v>458</v>
      </c>
      <c r="C36" s="111">
        <f>'Task 3_P&amp;L'!$C$100/365*C19+('Task 3_P&amp;L'!$C$101-'Task 3_P&amp;L'!$C$102)/365*C14*$C$97</f>
        <v>3007243.062</v>
      </c>
      <c r="D36" s="111">
        <f>'Task 3_P&amp;L'!$C$100/365*D19+('Task 3_P&amp;L'!$C$101-'Task 3_P&amp;L'!$C$102)/365*D14*$C$97</f>
        <v>2666562.852</v>
      </c>
      <c r="E36" s="111">
        <f>'Task 3_P&amp;L'!$C$100/365*E19+('Task 3_P&amp;L'!$C$101-'Task 3_P&amp;L'!$C$102)/365*E14*$C$97</f>
        <v>2346575.31</v>
      </c>
      <c r="F36" s="111">
        <f>'Task 3_P&amp;L'!$C$100/365*F19+('Task 3_P&amp;L'!$C$101-'Task 3_P&amp;L'!$C$102)/365*F14*$C$97</f>
        <v>1994589.013</v>
      </c>
      <c r="G36" s="111">
        <f>'Task 3_P&amp;L'!$C$100/365*G19+('Task 3_P&amp;L'!$C$101-'Task 3_P&amp;L'!$C$102)/365*G14*$C$97</f>
        <v>1695400.661</v>
      </c>
      <c r="H36" s="111">
        <f>'Task 3_P&amp;L'!$C$100/365*H19+('Task 3_P&amp;L'!$C$101-'Task 3_P&amp;L'!$C$102)/365*H14*$C$97</f>
        <v>1441090.562</v>
      </c>
      <c r="I36" s="118"/>
      <c r="J36" s="132"/>
      <c r="O36" s="133"/>
    </row>
    <row r="37" ht="18.0" customHeight="1">
      <c r="B37" s="55" t="s">
        <v>459</v>
      </c>
      <c r="C37" s="111"/>
      <c r="D37" s="111">
        <f t="shared" ref="D37:H37" si="17">D33-(D36-C36)</f>
        <v>1938869.042</v>
      </c>
      <c r="E37" s="111">
        <f t="shared" si="17"/>
        <v>1684739.705</v>
      </c>
      <c r="F37" s="111">
        <f t="shared" si="17"/>
        <v>1459958.122</v>
      </c>
      <c r="G37" s="111">
        <f t="shared" si="17"/>
        <v>1188896.891</v>
      </c>
      <c r="H37" s="111">
        <f t="shared" si="17"/>
        <v>958494.8452</v>
      </c>
      <c r="I37" s="110">
        <f t="shared" ref="I37:I39" si="18">SUM(D37:H37)</f>
        <v>7230958.606</v>
      </c>
      <c r="J37" s="62"/>
      <c r="K37" s="63"/>
      <c r="L37" s="63"/>
      <c r="M37" s="63"/>
      <c r="N37" s="63"/>
      <c r="O37" s="64"/>
    </row>
    <row r="38" ht="18.0" customHeight="1">
      <c r="B38" s="55" t="s">
        <v>460</v>
      </c>
      <c r="C38" s="109"/>
      <c r="D38" s="109">
        <f>'Task 3_P&amp;L'!D77</f>
        <v>974255.2726</v>
      </c>
      <c r="E38" s="109">
        <f>'Task 3_P&amp;L'!E77</f>
        <v>1836701.106</v>
      </c>
      <c r="F38" s="109">
        <f>'Task 3_P&amp;L'!F77</f>
        <v>2212813.238</v>
      </c>
      <c r="G38" s="109">
        <f>'Task 3_P&amp;L'!G77</f>
        <v>3435674.414</v>
      </c>
      <c r="H38" s="109">
        <f>'Task 3_P&amp;L'!H77</f>
        <v>3125111.895</v>
      </c>
      <c r="I38" s="110">
        <f t="shared" si="18"/>
        <v>11584555.93</v>
      </c>
      <c r="J38" s="59" t="s">
        <v>461</v>
      </c>
      <c r="K38" s="60"/>
      <c r="L38" s="60"/>
      <c r="M38" s="60"/>
      <c r="N38" s="60"/>
      <c r="O38" s="61"/>
    </row>
    <row r="39" ht="18.0" customHeight="1">
      <c r="B39" s="73" t="s">
        <v>462</v>
      </c>
      <c r="C39" s="110"/>
      <c r="D39" s="110">
        <f t="shared" ref="D39:H39" si="19">D38-D37</f>
        <v>-964613.7697</v>
      </c>
      <c r="E39" s="110">
        <f t="shared" si="19"/>
        <v>151961.4008</v>
      </c>
      <c r="F39" s="110">
        <f t="shared" si="19"/>
        <v>752855.1163</v>
      </c>
      <c r="G39" s="110">
        <f t="shared" si="19"/>
        <v>2246777.523</v>
      </c>
      <c r="H39" s="110">
        <f t="shared" si="19"/>
        <v>2166617.049</v>
      </c>
      <c r="I39" s="110">
        <f t="shared" si="18"/>
        <v>4353597.319</v>
      </c>
      <c r="J39" s="132"/>
      <c r="O39" s="133"/>
    </row>
    <row r="40" ht="18.0" customHeight="1">
      <c r="B40" s="55" t="s">
        <v>463</v>
      </c>
      <c r="C40" s="111"/>
      <c r="D40" s="111">
        <f>D39</f>
        <v>-964613.7697</v>
      </c>
      <c r="E40" s="111">
        <f t="shared" ref="E40:H40" si="20">D40+E39</f>
        <v>-812652.3689</v>
      </c>
      <c r="F40" s="111">
        <f t="shared" si="20"/>
        <v>-59797.25261</v>
      </c>
      <c r="G40" s="111">
        <f t="shared" si="20"/>
        <v>2186980.27</v>
      </c>
      <c r="H40" s="111">
        <f t="shared" si="20"/>
        <v>4353597.319</v>
      </c>
      <c r="I40" s="118"/>
      <c r="J40" s="132"/>
      <c r="O40" s="133"/>
    </row>
    <row r="41" ht="41.25" customHeight="1">
      <c r="B41" s="78" t="s">
        <v>466</v>
      </c>
      <c r="C41" s="147" t="str">
        <f>IF(D40&gt;=0,$D$9,IF(E40&gt;=0,$E$9,IF(F40&gt;=0,$F$9,IF(G40&gt;=0,$G$9,IF(H40&gt;=0,$H$9,"After 2031")))))</f>
        <v>2030</v>
      </c>
      <c r="D41" s="118"/>
      <c r="E41" s="118"/>
      <c r="F41" s="118"/>
      <c r="G41" s="118"/>
      <c r="H41" s="118"/>
      <c r="I41" s="118"/>
      <c r="J41" s="132"/>
      <c r="O41" s="133"/>
    </row>
    <row r="42" ht="14.25" customHeight="1">
      <c r="B42" s="104" t="s">
        <v>467</v>
      </c>
      <c r="C42" s="39"/>
      <c r="D42" s="39"/>
      <c r="E42" s="39"/>
      <c r="F42" s="39"/>
      <c r="G42" s="39"/>
      <c r="H42" s="39"/>
      <c r="I42" s="40"/>
      <c r="J42" s="132"/>
      <c r="O42" s="133"/>
    </row>
    <row r="43" ht="18.0" customHeight="1">
      <c r="B43" s="55" t="s">
        <v>468</v>
      </c>
      <c r="C43" s="80">
        <f t="shared" ref="C43:H43" si="21">C14*$C$99</f>
        <v>300000</v>
      </c>
      <c r="D43" s="80">
        <f t="shared" si="21"/>
        <v>270000</v>
      </c>
      <c r="E43" s="80">
        <f t="shared" si="21"/>
        <v>237600</v>
      </c>
      <c r="F43" s="80">
        <f t="shared" si="21"/>
        <v>201960</v>
      </c>
      <c r="G43" s="80">
        <f t="shared" si="21"/>
        <v>171666</v>
      </c>
      <c r="H43" s="80">
        <f t="shared" si="21"/>
        <v>145916.1</v>
      </c>
      <c r="I43" s="118"/>
      <c r="J43" s="132"/>
      <c r="O43" s="133"/>
    </row>
    <row r="44" ht="18.0" customHeight="1">
      <c r="B44" s="55" t="s">
        <v>475</v>
      </c>
      <c r="C44" s="80">
        <f t="shared" ref="C44:H44" si="22">C43*$C$100/1000</f>
        <v>28380</v>
      </c>
      <c r="D44" s="80">
        <f t="shared" si="22"/>
        <v>25542</v>
      </c>
      <c r="E44" s="80">
        <f t="shared" si="22"/>
        <v>22476.96</v>
      </c>
      <c r="F44" s="80">
        <f t="shared" si="22"/>
        <v>19105.416</v>
      </c>
      <c r="G44" s="80">
        <f t="shared" si="22"/>
        <v>16239.6036</v>
      </c>
      <c r="H44" s="80">
        <f t="shared" si="22"/>
        <v>13803.66306</v>
      </c>
      <c r="I44" s="118"/>
      <c r="J44" s="62"/>
      <c r="K44" s="63"/>
      <c r="L44" s="63"/>
      <c r="M44" s="63"/>
      <c r="N44" s="63"/>
      <c r="O44" s="64"/>
    </row>
    <row r="45" ht="18.0" customHeight="1">
      <c r="B45" s="55" t="s">
        <v>170</v>
      </c>
      <c r="C45" s="56">
        <f>'Emission Target'!D6</f>
        <v>28380</v>
      </c>
      <c r="D45" s="56">
        <f>'Emission Target'!D7</f>
        <v>24123</v>
      </c>
      <c r="E45" s="56">
        <f>'Emission Target'!D8</f>
        <v>19866</v>
      </c>
      <c r="F45" s="56">
        <f>'Emission Target'!D9</f>
        <v>15609</v>
      </c>
      <c r="G45" s="56">
        <f>'Emission Target'!D10</f>
        <v>12771</v>
      </c>
      <c r="H45" s="56">
        <f>'Emission Target'!D11</f>
        <v>10216.8</v>
      </c>
      <c r="I45" s="118"/>
      <c r="J45" s="53"/>
      <c r="K45" s="53"/>
      <c r="L45" s="53"/>
      <c r="M45" s="53"/>
      <c r="N45" s="53"/>
      <c r="O45" s="53"/>
    </row>
    <row r="46" ht="18.0" customHeight="1">
      <c r="B46" s="55" t="s">
        <v>171</v>
      </c>
      <c r="C46" s="72">
        <f>'Emission Target'!E6</f>
        <v>94.6</v>
      </c>
      <c r="D46" s="72">
        <f>'Emission Target'!E7</f>
        <v>80.41</v>
      </c>
      <c r="E46" s="72">
        <f>'Emission Target'!E8</f>
        <v>66.22</v>
      </c>
      <c r="F46" s="72">
        <f>'Emission Target'!E9</f>
        <v>52.03</v>
      </c>
      <c r="G46" s="72">
        <f>'Emission Target'!E10</f>
        <v>42.57</v>
      </c>
      <c r="H46" s="72">
        <f>'Emission Target'!E11</f>
        <v>34.056</v>
      </c>
      <c r="I46" s="118"/>
    </row>
    <row r="47" ht="18.0" customHeight="1">
      <c r="B47" s="55" t="s">
        <v>490</v>
      </c>
      <c r="C47" s="57" t="s">
        <v>262</v>
      </c>
      <c r="D47" s="77" t="str">
        <f t="shared" ref="D47:H47" si="23">IF(AND(D44&lt;=D45+0.5,$C$100&lt;=D46+0.05),"Compliant","NOT compliant")</f>
        <v>NOT compliant</v>
      </c>
      <c r="E47" s="77" t="str">
        <f t="shared" si="23"/>
        <v>NOT compliant</v>
      </c>
      <c r="F47" s="77" t="str">
        <f t="shared" si="23"/>
        <v>NOT compliant</v>
      </c>
      <c r="G47" s="77" t="str">
        <f t="shared" si="23"/>
        <v>NOT compliant</v>
      </c>
      <c r="H47" s="77" t="str">
        <f t="shared" si="23"/>
        <v>NOT compliant</v>
      </c>
      <c r="I47" s="118"/>
    </row>
    <row r="48" ht="18.0" customHeight="1">
      <c r="B48" s="55" t="s">
        <v>491</v>
      </c>
      <c r="C48" s="77" t="str">
        <f>'Task 1_ESG Roadmap'!C78</f>
        <v>Baseline</v>
      </c>
      <c r="D48" s="77" t="str">
        <f>'Task 1_ESG Roadmap'!D78</f>
        <v>Compliant</v>
      </c>
      <c r="E48" s="77" t="str">
        <f>'Task 1_ESG Roadmap'!E78</f>
        <v>Compliant</v>
      </c>
      <c r="F48" s="77" t="str">
        <f>'Task 1_ESG Roadmap'!F78</f>
        <v>Compliant</v>
      </c>
      <c r="G48" s="77" t="str">
        <f>'Task 1_ESG Roadmap'!G78</f>
        <v>Compliant</v>
      </c>
      <c r="H48" s="77" t="str">
        <f>'Task 1_ESG Roadmap'!H78</f>
        <v>Compliant</v>
      </c>
      <c r="I48" s="118"/>
    </row>
    <row r="49" ht="14.25" customHeight="1"/>
    <row r="50" ht="21.75" customHeight="1">
      <c r="B50" s="50" t="s">
        <v>497</v>
      </c>
      <c r="C50" s="39"/>
      <c r="D50" s="39"/>
      <c r="E50" s="39"/>
      <c r="F50" s="39"/>
      <c r="G50" s="39"/>
      <c r="H50" s="39"/>
      <c r="I50" s="39"/>
      <c r="J50" s="39"/>
      <c r="K50" s="39"/>
      <c r="L50" s="39"/>
      <c r="M50" s="39"/>
      <c r="N50" s="39"/>
      <c r="O50" s="40"/>
    </row>
    <row r="51" ht="30.0" customHeight="1">
      <c r="B51" s="51" t="s">
        <v>0</v>
      </c>
      <c r="C51" s="51" t="s">
        <v>164</v>
      </c>
      <c r="D51" s="51" t="s">
        <v>165</v>
      </c>
      <c r="E51" s="51" t="s">
        <v>166</v>
      </c>
      <c r="F51" s="51" t="s">
        <v>167</v>
      </c>
      <c r="G51" s="51" t="s">
        <v>168</v>
      </c>
      <c r="H51" s="51" t="s">
        <v>169</v>
      </c>
      <c r="I51" s="51" t="s">
        <v>321</v>
      </c>
      <c r="J51" s="54" t="s">
        <v>499</v>
      </c>
      <c r="K51" s="39"/>
      <c r="L51" s="39"/>
      <c r="M51" s="39"/>
      <c r="N51" s="39"/>
      <c r="O51" s="40"/>
    </row>
    <row r="52" ht="14.25" customHeight="1">
      <c r="B52" s="104" t="s">
        <v>501</v>
      </c>
      <c r="C52" s="39"/>
      <c r="D52" s="39"/>
      <c r="E52" s="39"/>
      <c r="F52" s="39"/>
      <c r="G52" s="39"/>
      <c r="H52" s="39"/>
      <c r="I52" s="40"/>
      <c r="J52" s="59" t="s">
        <v>502</v>
      </c>
      <c r="K52" s="60"/>
      <c r="L52" s="60"/>
      <c r="M52" s="60"/>
      <c r="N52" s="60"/>
      <c r="O52" s="61"/>
    </row>
    <row r="53" ht="18.0" customHeight="1">
      <c r="B53" s="55" t="s">
        <v>503</v>
      </c>
      <c r="C53" s="111">
        <f>L72</f>
        <v>19284263.88</v>
      </c>
      <c r="D53" s="111">
        <f>L73</f>
        <v>21598375.54</v>
      </c>
      <c r="E53" s="111">
        <f>L74</f>
        <v>26585286.18</v>
      </c>
      <c r="F53" s="111">
        <f>L75</f>
        <v>33231607.73</v>
      </c>
      <c r="G53" s="111">
        <f>L76</f>
        <v>29413511.76</v>
      </c>
      <c r="H53" s="111">
        <f>L77</f>
        <v>23530809.41</v>
      </c>
      <c r="I53" s="110">
        <f t="shared" ref="I53:I56" si="24">SUM(D53:H53)</f>
        <v>134359590.6</v>
      </c>
      <c r="J53" s="132"/>
      <c r="O53" s="133"/>
    </row>
    <row r="54" ht="18.0" customHeight="1">
      <c r="B54" s="55" t="s">
        <v>504</v>
      </c>
      <c r="C54" s="111">
        <f>L78</f>
        <v>19284263.88</v>
      </c>
      <c r="D54" s="111">
        <f>L79</f>
        <v>17031750.72</v>
      </c>
      <c r="E54" s="111">
        <f>L80</f>
        <v>19438537.99</v>
      </c>
      <c r="F54" s="111">
        <f>L81</f>
        <v>23926757.56</v>
      </c>
      <c r="G54" s="111">
        <f>L82</f>
        <v>29413511.76</v>
      </c>
      <c r="H54" s="111">
        <f>L83</f>
        <v>23530809.41</v>
      </c>
      <c r="I54" s="110">
        <f t="shared" si="24"/>
        <v>113341367.4</v>
      </c>
      <c r="J54" s="132"/>
      <c r="O54" s="133"/>
    </row>
    <row r="55" ht="18.0" customHeight="1">
      <c r="B55" s="55" t="s">
        <v>516</v>
      </c>
      <c r="C55" s="111">
        <f>L84</f>
        <v>19284263.88</v>
      </c>
      <c r="D55" s="111">
        <f>L85</f>
        <v>17031750.72</v>
      </c>
      <c r="E55" s="111">
        <f>L86</f>
        <v>14987940.63</v>
      </c>
      <c r="F55" s="111">
        <f>L87</f>
        <v>17105913.43</v>
      </c>
      <c r="G55" s="111">
        <f>L88</f>
        <v>21055546.66</v>
      </c>
      <c r="H55" s="111">
        <f>L89</f>
        <v>23530809.41</v>
      </c>
      <c r="I55" s="110">
        <f t="shared" si="24"/>
        <v>93711960.85</v>
      </c>
      <c r="J55" s="132"/>
      <c r="O55" s="133"/>
    </row>
    <row r="56" ht="18.0" customHeight="1">
      <c r="B56" s="55" t="s">
        <v>517</v>
      </c>
      <c r="C56" s="111">
        <f t="shared" ref="C56:H56" si="25">C19</f>
        <v>19284263.88</v>
      </c>
      <c r="D56" s="111">
        <f t="shared" si="25"/>
        <v>17031750.72</v>
      </c>
      <c r="E56" s="111">
        <f t="shared" si="25"/>
        <v>14987940.63</v>
      </c>
      <c r="F56" s="111">
        <f t="shared" si="25"/>
        <v>12739749.54</v>
      </c>
      <c r="G56" s="111">
        <f t="shared" si="25"/>
        <v>10828787.11</v>
      </c>
      <c r="H56" s="111">
        <f t="shared" si="25"/>
        <v>9204469.04</v>
      </c>
      <c r="I56" s="110">
        <f t="shared" si="24"/>
        <v>64792697.03</v>
      </c>
      <c r="J56" s="132"/>
      <c r="O56" s="133"/>
    </row>
    <row r="57" ht="14.25" customHeight="1">
      <c r="B57" s="104" t="s">
        <v>518</v>
      </c>
      <c r="C57" s="39"/>
      <c r="D57" s="39"/>
      <c r="E57" s="39"/>
      <c r="F57" s="39"/>
      <c r="G57" s="39"/>
      <c r="H57" s="39"/>
      <c r="I57" s="40"/>
      <c r="J57" s="132"/>
      <c r="O57" s="133"/>
    </row>
    <row r="58" ht="18.0" customHeight="1">
      <c r="B58" s="73" t="s">
        <v>519</v>
      </c>
      <c r="C58" s="111">
        <f t="shared" ref="C58:H58" si="26">C53-C54</f>
        <v>0</v>
      </c>
      <c r="D58" s="111">
        <f t="shared" si="26"/>
        <v>4566624.827</v>
      </c>
      <c r="E58" s="111">
        <f t="shared" si="26"/>
        <v>7146748.193</v>
      </c>
      <c r="F58" s="111">
        <f t="shared" si="26"/>
        <v>9304850.164</v>
      </c>
      <c r="G58" s="111">
        <f t="shared" si="26"/>
        <v>0</v>
      </c>
      <c r="H58" s="111">
        <f t="shared" si="26"/>
        <v>0</v>
      </c>
      <c r="I58" s="117">
        <f t="shared" ref="I58:I60" si="28">SUM(D58:H58)</f>
        <v>21018223.19</v>
      </c>
      <c r="J58" s="132"/>
      <c r="O58" s="133"/>
    </row>
    <row r="59" ht="18.0" customHeight="1">
      <c r="B59" s="73" t="s">
        <v>522</v>
      </c>
      <c r="C59" s="111">
        <f t="shared" ref="C59:H59" si="27">C53-C55</f>
        <v>0</v>
      </c>
      <c r="D59" s="111">
        <f t="shared" si="27"/>
        <v>4566624.827</v>
      </c>
      <c r="E59" s="111">
        <f t="shared" si="27"/>
        <v>11597345.55</v>
      </c>
      <c r="F59" s="111">
        <f t="shared" si="27"/>
        <v>16125694.3</v>
      </c>
      <c r="G59" s="111">
        <f t="shared" si="27"/>
        <v>8357965.106</v>
      </c>
      <c r="H59" s="111">
        <f t="shared" si="27"/>
        <v>0</v>
      </c>
      <c r="I59" s="117">
        <f t="shared" si="28"/>
        <v>40647629.78</v>
      </c>
      <c r="J59" s="132"/>
      <c r="O59" s="133"/>
    </row>
    <row r="60" ht="18.0" customHeight="1">
      <c r="B60" s="73" t="s">
        <v>524</v>
      </c>
      <c r="C60" s="111">
        <f t="shared" ref="C60:H60" si="29">C53-C56</f>
        <v>0</v>
      </c>
      <c r="D60" s="111">
        <f t="shared" si="29"/>
        <v>4566624.827</v>
      </c>
      <c r="E60" s="111">
        <f t="shared" si="29"/>
        <v>11597345.55</v>
      </c>
      <c r="F60" s="111">
        <f t="shared" si="29"/>
        <v>20491858.19</v>
      </c>
      <c r="G60" s="111">
        <f t="shared" si="29"/>
        <v>18584724.66</v>
      </c>
      <c r="H60" s="111">
        <f t="shared" si="29"/>
        <v>14326340.37</v>
      </c>
      <c r="I60" s="117">
        <f t="shared" si="28"/>
        <v>69566893.6</v>
      </c>
      <c r="J60" s="132"/>
      <c r="O60" s="133"/>
    </row>
    <row r="61" ht="14.25" customHeight="1">
      <c r="B61" s="104" t="s">
        <v>530</v>
      </c>
      <c r="C61" s="39"/>
      <c r="D61" s="39"/>
      <c r="E61" s="39"/>
      <c r="F61" s="39"/>
      <c r="G61" s="39"/>
      <c r="H61" s="39"/>
      <c r="I61" s="40"/>
      <c r="J61" s="132"/>
      <c r="O61" s="133"/>
    </row>
    <row r="62" ht="18.0" customHeight="1">
      <c r="B62" s="55" t="s">
        <v>519</v>
      </c>
      <c r="C62" s="111"/>
      <c r="D62" s="111">
        <f>M73-M79</f>
        <v>1195464.463</v>
      </c>
      <c r="E62" s="111">
        <f>M74-M80</f>
        <v>1467875.326</v>
      </c>
      <c r="F62" s="111">
        <f>M75-M81</f>
        <v>1911129.313</v>
      </c>
      <c r="G62" s="111">
        <f>M76-M82</f>
        <v>0</v>
      </c>
      <c r="H62" s="111">
        <f>M77-M83</f>
        <v>0</v>
      </c>
      <c r="I62" s="110">
        <f t="shared" ref="I62:I63" si="30">SUM(D62:H62)</f>
        <v>4574469.102</v>
      </c>
      <c r="J62" s="132"/>
      <c r="O62" s="133"/>
    </row>
    <row r="63" ht="18.0" customHeight="1">
      <c r="B63" s="55" t="s">
        <v>522</v>
      </c>
      <c r="C63" s="111"/>
      <c r="D63" s="111">
        <f>M73-M85</f>
        <v>1195464.463</v>
      </c>
      <c r="E63" s="111">
        <f>M74-M86</f>
        <v>2608606.146</v>
      </c>
      <c r="F63" s="111">
        <f>M75-M87</f>
        <v>3312066.989</v>
      </c>
      <c r="G63" s="111">
        <f>M76-M88</f>
        <v>1716647.966</v>
      </c>
      <c r="H63" s="111">
        <f>M77-M89</f>
        <v>0</v>
      </c>
      <c r="I63" s="110">
        <f t="shared" si="30"/>
        <v>8832785.564</v>
      </c>
      <c r="J63" s="62"/>
      <c r="K63" s="63"/>
      <c r="L63" s="63"/>
      <c r="M63" s="63"/>
      <c r="N63" s="63"/>
      <c r="O63" s="64"/>
    </row>
    <row r="64" ht="14.25" customHeight="1"/>
    <row r="65" ht="33.75" customHeight="1">
      <c r="B65" s="124" t="s">
        <v>570</v>
      </c>
      <c r="C65" s="51" t="s">
        <v>571</v>
      </c>
      <c r="D65" s="51" t="s">
        <v>572</v>
      </c>
      <c r="E65" s="51" t="s">
        <v>573</v>
      </c>
      <c r="F65" s="51" t="s">
        <v>574</v>
      </c>
      <c r="J65" s="52" t="s">
        <v>36</v>
      </c>
      <c r="K65" s="39"/>
      <c r="L65" s="40"/>
      <c r="M65" s="125" t="s">
        <v>575</v>
      </c>
      <c r="N65" s="40"/>
      <c r="O65" s="51" t="s">
        <v>576</v>
      </c>
    </row>
    <row r="66" ht="14.25" customHeight="1">
      <c r="B66" s="55" t="s">
        <v>577</v>
      </c>
      <c r="C66" s="67">
        <f>'Task 2_Conversion &amp; Forecast'!D33</f>
        <v>0.22</v>
      </c>
      <c r="D66" s="67">
        <f>'Task 2_Conversion &amp; Forecast'!E33</f>
        <v>0.25</v>
      </c>
      <c r="E66" s="67">
        <f>'Task 2_Conversion &amp; Forecast'!F33</f>
        <v>0.28</v>
      </c>
      <c r="F66" s="67">
        <f>'Task 2_Conversion &amp; Forecast'!G49</f>
        <v>0.06333333333</v>
      </c>
      <c r="J66" s="141" t="s">
        <v>578</v>
      </c>
      <c r="K66" s="39"/>
      <c r="L66" s="40"/>
      <c r="M66" s="160">
        <f t="shared" ref="M66:M68" si="31">2027+O66</f>
        <v>2027</v>
      </c>
      <c r="N66" s="40"/>
      <c r="O66" s="161">
        <v>0.0</v>
      </c>
    </row>
    <row r="67" ht="14.25" customHeight="1">
      <c r="B67" s="55" t="s">
        <v>401</v>
      </c>
      <c r="C67" s="142">
        <f>'Task 2_Conversion &amp; Forecast'!D42</f>
        <v>0.9180327869</v>
      </c>
      <c r="D67" s="142">
        <f>'Task 2_Conversion &amp; Forecast'!E42</f>
        <v>0.904</v>
      </c>
      <c r="E67" s="142">
        <f>'Task 2_Conversion &amp; Forecast'!F42</f>
        <v>0.8828125</v>
      </c>
      <c r="F67" s="142">
        <f>'Task 2_Conversion &amp; Forecast'!G51</f>
        <v>0.8828125</v>
      </c>
      <c r="J67" s="141" t="s">
        <v>519</v>
      </c>
      <c r="K67" s="39"/>
      <c r="L67" s="40"/>
      <c r="M67" s="160">
        <f t="shared" si="31"/>
        <v>2028</v>
      </c>
      <c r="N67" s="40"/>
      <c r="O67" s="161">
        <v>1.0</v>
      </c>
    </row>
    <row r="68" ht="14.25" customHeight="1">
      <c r="J68" s="141" t="s">
        <v>522</v>
      </c>
      <c r="K68" s="39"/>
      <c r="L68" s="40"/>
      <c r="M68" s="160">
        <f t="shared" si="31"/>
        <v>2029</v>
      </c>
      <c r="N68" s="40"/>
      <c r="O68" s="161">
        <v>2.0</v>
      </c>
    </row>
    <row r="69" ht="14.25" customHeight="1"/>
    <row r="70" ht="21.75" customHeight="1">
      <c r="B70" s="103" t="s">
        <v>591</v>
      </c>
      <c r="C70" s="4"/>
      <c r="D70" s="4"/>
      <c r="E70" s="4"/>
      <c r="F70" s="4"/>
      <c r="G70" s="4"/>
      <c r="H70" s="4"/>
      <c r="I70" s="4"/>
      <c r="J70" s="4"/>
      <c r="K70" s="4"/>
      <c r="L70" s="4"/>
      <c r="M70" s="4"/>
      <c r="N70" s="4"/>
      <c r="O70" s="6"/>
    </row>
    <row r="71" ht="43.5" customHeight="1">
      <c r="B71" s="51" t="s">
        <v>36</v>
      </c>
      <c r="C71" s="51" t="s">
        <v>283</v>
      </c>
      <c r="D71" s="51" t="s">
        <v>593</v>
      </c>
      <c r="E71" s="51" t="s">
        <v>594</v>
      </c>
      <c r="F71" s="51" t="s">
        <v>595</v>
      </c>
      <c r="G71" s="51" t="s">
        <v>596</v>
      </c>
      <c r="H71" s="51" t="s">
        <v>597</v>
      </c>
      <c r="I71" s="51" t="s">
        <v>180</v>
      </c>
      <c r="J71" s="51" t="s">
        <v>599</v>
      </c>
      <c r="K71" s="51" t="s">
        <v>600</v>
      </c>
      <c r="L71" s="51" t="s">
        <v>337</v>
      </c>
      <c r="M71" s="51" t="s">
        <v>601</v>
      </c>
      <c r="N71" s="51" t="s">
        <v>467</v>
      </c>
    </row>
    <row r="72" ht="14.25" customHeight="1">
      <c r="B72" s="162" t="s">
        <v>602</v>
      </c>
      <c r="C72" s="163">
        <v>2026.0</v>
      </c>
      <c r="D72" s="118"/>
      <c r="E72" s="138" t="s">
        <v>603</v>
      </c>
      <c r="F72" s="80">
        <f>C12</f>
        <v>5020000</v>
      </c>
      <c r="G72" s="118"/>
      <c r="H72" s="70">
        <v>0.0</v>
      </c>
      <c r="I72" s="118"/>
      <c r="J72" s="134">
        <f>C14</f>
        <v>5020000</v>
      </c>
      <c r="K72" s="150">
        <f>'Task 3_P&amp;L'!C12</f>
        <v>3.841486828</v>
      </c>
      <c r="L72" s="111">
        <f>C18</f>
        <v>19284263.88</v>
      </c>
      <c r="M72" s="111">
        <f t="shared" ref="M72:M89" si="32">L72-J72*$C$97</f>
        <v>3960807.679</v>
      </c>
      <c r="N72" s="57" t="s">
        <v>262</v>
      </c>
    </row>
    <row r="73" ht="25.5" customHeight="1">
      <c r="B73" s="121"/>
      <c r="C73" s="163">
        <v>2027.0</v>
      </c>
      <c r="D73" s="80">
        <f t="shared" ref="D73:D77" si="33">MAX(0,C73-2026-$O$66)</f>
        <v>1</v>
      </c>
      <c r="E73" s="138" t="str">
        <f t="shared" ref="E73:E77" si="34">IF(D73=0,"Coal, no ESG",IF(D73=1,"Converting","Biomass in service"))</f>
        <v>Converting</v>
      </c>
      <c r="F73" s="80">
        <f t="shared" ref="F73:F77" si="35">IF(D73=0,"",IF(D73=1,J72*(1+$C$66),F72*(1+INDEX($C$66:$F$66,MIN(D73,4)))))</f>
        <v>6124400</v>
      </c>
      <c r="G73" s="80">
        <f t="shared" ref="G73:G77" si="36">IF(D73=0,"",F73*INDEX($C$67:$F$67,MIN(D73,4)))</f>
        <v>5622400</v>
      </c>
      <c r="H73" s="70">
        <f t="shared" ref="H73:H77" si="37">IF(D73=0,0,IF(D73=1,$C$103,1))</f>
        <v>0.7534246575</v>
      </c>
      <c r="I73" s="80">
        <f>IF(D73=0,"",D45*1000/($C$99*($C$100-$C$102*H73*($C$100-$C$101))))</f>
        <v>9100807.202</v>
      </c>
      <c r="J73" s="134">
        <f>IF(D73=0,J72*(1+D13),MIN(G73,I73))</f>
        <v>5622400</v>
      </c>
      <c r="K73" s="150">
        <f t="shared" ref="K73:K77" si="38">IF(D73=0,$C$95,$C$94)</f>
        <v>3.841486828</v>
      </c>
      <c r="L73" s="110">
        <f t="shared" ref="L73:L77" si="39">J73*K73</f>
        <v>21598375.54</v>
      </c>
      <c r="M73" s="111">
        <f t="shared" si="32"/>
        <v>4436104.6</v>
      </c>
      <c r="N73" s="165" t="str">
        <f>IF(D73=0,"NOT compliant",IF($C$100-$C$102*H73*($C$100-$C$101)&lt;=D46+0.05,"Compliant","NOT compliant"))</f>
        <v>Compliant</v>
      </c>
    </row>
    <row r="74" ht="25.5" customHeight="1">
      <c r="B74" s="121"/>
      <c r="C74" s="163">
        <v>2028.0</v>
      </c>
      <c r="D74" s="80">
        <f t="shared" si="33"/>
        <v>2</v>
      </c>
      <c r="E74" s="138" t="str">
        <f t="shared" si="34"/>
        <v>Biomass in service</v>
      </c>
      <c r="F74" s="80">
        <f t="shared" si="35"/>
        <v>7655500</v>
      </c>
      <c r="G74" s="80">
        <f t="shared" si="36"/>
        <v>6920572</v>
      </c>
      <c r="H74" s="70">
        <f t="shared" si="37"/>
        <v>1</v>
      </c>
      <c r="I74" s="80">
        <f>IF(D74=0,"",E45*1000/($C$99*($C$100-$C$102*H74*($C$100-$C$101))))</f>
        <v>11910584.02</v>
      </c>
      <c r="J74" s="134">
        <f>IF(D74=0,J73*(1+E13),MIN(G74,I74))</f>
        <v>6920572</v>
      </c>
      <c r="K74" s="150">
        <f t="shared" si="38"/>
        <v>3.841486828</v>
      </c>
      <c r="L74" s="110">
        <f t="shared" si="39"/>
        <v>26585286.18</v>
      </c>
      <c r="M74" s="111">
        <f t="shared" si="32"/>
        <v>5460369.466</v>
      </c>
      <c r="N74" s="165" t="str">
        <f>IF(D74=0,"NOT compliant",IF($C$100-$C$102*H74*($C$100-$C$101)&lt;=E46+0.05,"Compliant","NOT compliant"))</f>
        <v>Compliant</v>
      </c>
    </row>
    <row r="75" ht="25.5" customHeight="1">
      <c r="B75" s="121"/>
      <c r="C75" s="163">
        <v>2029.0</v>
      </c>
      <c r="D75" s="80">
        <f t="shared" si="33"/>
        <v>3</v>
      </c>
      <c r="E75" s="138" t="str">
        <f t="shared" si="34"/>
        <v>Biomass in service</v>
      </c>
      <c r="F75" s="80">
        <f t="shared" si="35"/>
        <v>9799040</v>
      </c>
      <c r="G75" s="80">
        <f t="shared" si="36"/>
        <v>8650715</v>
      </c>
      <c r="H75" s="70">
        <f t="shared" si="37"/>
        <v>1</v>
      </c>
      <c r="I75" s="80">
        <f>IF(D75=0,"",F45*1000/($C$99*($C$100-$C$102*H75*($C$100-$C$101))))</f>
        <v>9358316.016</v>
      </c>
      <c r="J75" s="134">
        <f>IF(D75=0,J74*(1+F13),MIN(G75,I75))</f>
        <v>8650715</v>
      </c>
      <c r="K75" s="150">
        <f t="shared" si="38"/>
        <v>3.841486828</v>
      </c>
      <c r="L75" s="110">
        <f t="shared" si="39"/>
        <v>33231607.73</v>
      </c>
      <c r="M75" s="111">
        <f t="shared" si="32"/>
        <v>6825461.832</v>
      </c>
      <c r="N75" s="165" t="str">
        <f>IF(D75=0,"NOT compliant",IF($C$100-$C$102*H75*($C$100-$C$101)&lt;=F46+0.05,"Compliant","NOT compliant"))</f>
        <v>Compliant</v>
      </c>
    </row>
    <row r="76" ht="25.5" customHeight="1">
      <c r="B76" s="121"/>
      <c r="C76" s="163">
        <v>2030.0</v>
      </c>
      <c r="D76" s="80">
        <f t="shared" si="33"/>
        <v>4</v>
      </c>
      <c r="E76" s="138" t="str">
        <f t="shared" si="34"/>
        <v>Biomass in service</v>
      </c>
      <c r="F76" s="80">
        <f t="shared" si="35"/>
        <v>10419645.87</v>
      </c>
      <c r="G76" s="80">
        <f t="shared" si="36"/>
        <v>9198593.617</v>
      </c>
      <c r="H76" s="70">
        <f t="shared" si="37"/>
        <v>1</v>
      </c>
      <c r="I76" s="80">
        <f>IF(D76=0,"",G45*1000/($C$99*($C$100-$C$102*H76*($C$100-$C$101))))</f>
        <v>7656804.013</v>
      </c>
      <c r="J76" s="134">
        <f>IF(D76=0,J75*(1+G13),MIN(G76,I76))</f>
        <v>7656804.013</v>
      </c>
      <c r="K76" s="150">
        <f t="shared" si="38"/>
        <v>3.841486828</v>
      </c>
      <c r="L76" s="110">
        <f t="shared" si="39"/>
        <v>29413511.76</v>
      </c>
      <c r="M76" s="111">
        <f t="shared" si="32"/>
        <v>6041260.584</v>
      </c>
      <c r="N76" s="165" t="str">
        <f>IF(D76=0,"NOT compliant",IF($C$100-$C$102*H76*($C$100-$C$101)&lt;=G46+0.05,"Compliant","NOT compliant"))</f>
        <v>Compliant</v>
      </c>
    </row>
    <row r="77" ht="25.5" customHeight="1">
      <c r="B77" s="123"/>
      <c r="C77" s="163">
        <v>2031.0</v>
      </c>
      <c r="D77" s="80">
        <f t="shared" si="33"/>
        <v>5</v>
      </c>
      <c r="E77" s="138" t="str">
        <f t="shared" si="34"/>
        <v>Biomass in service</v>
      </c>
      <c r="F77" s="80">
        <f t="shared" si="35"/>
        <v>11079556.77</v>
      </c>
      <c r="G77" s="80">
        <f t="shared" si="36"/>
        <v>9781171.212</v>
      </c>
      <c r="H77" s="70">
        <f t="shared" si="37"/>
        <v>1</v>
      </c>
      <c r="I77" s="80">
        <f>IF(D77=0,"",H45*1000/($C$99*($C$100-$C$102*H77*($C$100-$C$101))))</f>
        <v>6125443.21</v>
      </c>
      <c r="J77" s="134">
        <f>IF(D77=0,J76*(1+H13),MIN(G77,I77))</f>
        <v>6125443.21</v>
      </c>
      <c r="K77" s="150">
        <f t="shared" si="38"/>
        <v>3.841486828</v>
      </c>
      <c r="L77" s="110">
        <f t="shared" si="39"/>
        <v>23530809.41</v>
      </c>
      <c r="M77" s="111">
        <f t="shared" si="32"/>
        <v>4833008.467</v>
      </c>
      <c r="N77" s="165" t="str">
        <f>IF(D77=0,"NOT compliant",IF($C$100-$C$102*H77*($C$100-$C$101)&lt;=H46+0.05,"Compliant","NOT compliant"))</f>
        <v>Compliant</v>
      </c>
    </row>
    <row r="78" ht="14.25" customHeight="1">
      <c r="B78" s="162" t="s">
        <v>671</v>
      </c>
      <c r="C78" s="163">
        <v>2026.0</v>
      </c>
      <c r="D78" s="118"/>
      <c r="E78" s="138" t="s">
        <v>603</v>
      </c>
      <c r="F78" s="80">
        <f>C12</f>
        <v>5020000</v>
      </c>
      <c r="G78" s="118"/>
      <c r="H78" s="70">
        <v>0.0</v>
      </c>
      <c r="I78" s="118"/>
      <c r="J78" s="134">
        <f>C14</f>
        <v>5020000</v>
      </c>
      <c r="K78" s="150">
        <f>'Task 3_P&amp;L'!C12</f>
        <v>3.841486828</v>
      </c>
      <c r="L78" s="111">
        <f>C18</f>
        <v>19284263.88</v>
      </c>
      <c r="M78" s="111">
        <f t="shared" si="32"/>
        <v>3960807.679</v>
      </c>
      <c r="N78" s="57" t="s">
        <v>262</v>
      </c>
    </row>
    <row r="79" ht="25.5" customHeight="1">
      <c r="B79" s="121"/>
      <c r="C79" s="163">
        <v>2027.0</v>
      </c>
      <c r="D79" s="80">
        <f t="shared" ref="D79:D83" si="40">MAX(0,C79-2026-$O$67)</f>
        <v>0</v>
      </c>
      <c r="E79" s="138" t="str">
        <f t="shared" ref="E79:E83" si="41">IF(D79=0,"Coal, no ESG",IF(D79=1,"Converting","Biomass in service"))</f>
        <v>Coal, no ESG</v>
      </c>
      <c r="F79" s="80" t="str">
        <f t="shared" ref="F79:F83" si="42">IF(D79=0,"",IF(D79=1,J78*(1+$C$66),F78*(1+INDEX($C$66:$F$66,MIN(D79,4)))))</f>
        <v/>
      </c>
      <c r="G79" s="80" t="str">
        <f t="shared" ref="G79:G83" si="43">IF(D79=0,"",F79*INDEX($C$67:$F$67,MIN(D79,4)))</f>
        <v/>
      </c>
      <c r="H79" s="70">
        <f t="shared" ref="H79:H83" si="44">IF(D79=0,0,IF(D79=1,$C$103,1))</f>
        <v>0</v>
      </c>
      <c r="I79" s="80" t="str">
        <f>IF(D79=0,"",D45*1000/($C$99*($C$100-$C$102*H79*($C$100-$C$101))))</f>
        <v/>
      </c>
      <c r="J79" s="134">
        <f>IF(D79=0,J78*(1+D13),MIN(G79,I79))</f>
        <v>4518000</v>
      </c>
      <c r="K79" s="150">
        <f t="shared" ref="K79:K83" si="45">IF(D79=0,$C$95,$C$94)</f>
        <v>3.769754475</v>
      </c>
      <c r="L79" s="110">
        <f t="shared" ref="L79:L83" si="46">J79*K79</f>
        <v>17031750.72</v>
      </c>
      <c r="M79" s="111">
        <f t="shared" si="32"/>
        <v>3240640.137</v>
      </c>
      <c r="N79" s="165" t="str">
        <f>IF(D79=0,"NOT compliant",IF($C$100-$C$102*H79*($C$100-$C$101)&lt;=D46+0.05,"Compliant","NOT compliant"))</f>
        <v>NOT compliant</v>
      </c>
    </row>
    <row r="80" ht="25.5" customHeight="1">
      <c r="B80" s="121"/>
      <c r="C80" s="163">
        <v>2028.0</v>
      </c>
      <c r="D80" s="80">
        <f t="shared" si="40"/>
        <v>1</v>
      </c>
      <c r="E80" s="138" t="str">
        <f t="shared" si="41"/>
        <v>Converting</v>
      </c>
      <c r="F80" s="80">
        <f t="shared" si="42"/>
        <v>5511960</v>
      </c>
      <c r="G80" s="80">
        <f t="shared" si="43"/>
        <v>5060160</v>
      </c>
      <c r="H80" s="70">
        <f t="shared" si="44"/>
        <v>0.7534246575</v>
      </c>
      <c r="I80" s="80">
        <f>IF(D80=0,"",E45*1000/($C$99*($C$100-$C$102*H80*($C$100-$C$101))))</f>
        <v>7494782.402</v>
      </c>
      <c r="J80" s="134">
        <f>IF(D80=0,J79*(1+E13),MIN(G80,I80))</f>
        <v>5060160</v>
      </c>
      <c r="K80" s="150">
        <f t="shared" si="45"/>
        <v>3.841486828</v>
      </c>
      <c r="L80" s="110">
        <f t="shared" si="46"/>
        <v>19438537.99</v>
      </c>
      <c r="M80" s="111">
        <f t="shared" si="32"/>
        <v>3992494.14</v>
      </c>
      <c r="N80" s="165" t="str">
        <f>IF(D80=0,"NOT compliant",IF($C$100-$C$102*H80*($C$100-$C$101)&lt;=E46+0.05,"Compliant","NOT compliant"))</f>
        <v>Compliant</v>
      </c>
    </row>
    <row r="81" ht="25.5" customHeight="1">
      <c r="B81" s="121"/>
      <c r="C81" s="163">
        <v>2029.0</v>
      </c>
      <c r="D81" s="80">
        <f t="shared" si="40"/>
        <v>2</v>
      </c>
      <c r="E81" s="138" t="str">
        <f t="shared" si="41"/>
        <v>Biomass in service</v>
      </c>
      <c r="F81" s="80">
        <f t="shared" si="42"/>
        <v>6889950</v>
      </c>
      <c r="G81" s="80">
        <f t="shared" si="43"/>
        <v>6228514.8</v>
      </c>
      <c r="H81" s="70">
        <f t="shared" si="44"/>
        <v>1</v>
      </c>
      <c r="I81" s="80">
        <f>IF(D81=0,"",F45*1000/($C$99*($C$100-$C$102*H81*($C$100-$C$101))))</f>
        <v>9358316.016</v>
      </c>
      <c r="J81" s="134">
        <f>IF(D81=0,J80*(1+F13),MIN(G81,I81))</f>
        <v>6228514.8</v>
      </c>
      <c r="K81" s="150">
        <f t="shared" si="45"/>
        <v>3.841486828</v>
      </c>
      <c r="L81" s="110">
        <f t="shared" si="46"/>
        <v>23926757.56</v>
      </c>
      <c r="M81" s="111">
        <f t="shared" si="32"/>
        <v>4914332.519</v>
      </c>
      <c r="N81" s="165" t="str">
        <f>IF(D81=0,"NOT compliant",IF($C$100-$C$102*H81*($C$100-$C$101)&lt;=F46+0.05,"Compliant","NOT compliant"))</f>
        <v>Compliant</v>
      </c>
    </row>
    <row r="82" ht="25.5" customHeight="1">
      <c r="B82" s="121"/>
      <c r="C82" s="163">
        <v>2030.0</v>
      </c>
      <c r="D82" s="80">
        <f t="shared" si="40"/>
        <v>3</v>
      </c>
      <c r="E82" s="138" t="str">
        <f t="shared" si="41"/>
        <v>Biomass in service</v>
      </c>
      <c r="F82" s="80">
        <f t="shared" si="42"/>
        <v>8819136</v>
      </c>
      <c r="G82" s="80">
        <f t="shared" si="43"/>
        <v>7785643.5</v>
      </c>
      <c r="H82" s="70">
        <f t="shared" si="44"/>
        <v>1</v>
      </c>
      <c r="I82" s="80">
        <f>IF(D82=0,"",G45*1000/($C$99*($C$100-$C$102*H82*($C$100-$C$101))))</f>
        <v>7656804.013</v>
      </c>
      <c r="J82" s="134">
        <f>IF(D82=0,J81*(1+G13),MIN(G82,I82))</f>
        <v>7656804.013</v>
      </c>
      <c r="K82" s="150">
        <f t="shared" si="45"/>
        <v>3.841486828</v>
      </c>
      <c r="L82" s="110">
        <f t="shared" si="46"/>
        <v>29413511.76</v>
      </c>
      <c r="M82" s="111">
        <f t="shared" si="32"/>
        <v>6041260.584</v>
      </c>
      <c r="N82" s="165" t="str">
        <f>IF(D82=0,"NOT compliant",IF($C$100-$C$102*H82*($C$100-$C$101)&lt;=G46+0.05,"Compliant","NOT compliant"))</f>
        <v>Compliant</v>
      </c>
    </row>
    <row r="83" ht="25.5" customHeight="1">
      <c r="B83" s="123"/>
      <c r="C83" s="163">
        <v>2031.0</v>
      </c>
      <c r="D83" s="80">
        <f t="shared" si="40"/>
        <v>4</v>
      </c>
      <c r="E83" s="138" t="str">
        <f t="shared" si="41"/>
        <v>Biomass in service</v>
      </c>
      <c r="F83" s="80">
        <f t="shared" si="42"/>
        <v>9377681.28</v>
      </c>
      <c r="G83" s="80">
        <f t="shared" si="43"/>
        <v>8278734.255</v>
      </c>
      <c r="H83" s="70">
        <f t="shared" si="44"/>
        <v>1</v>
      </c>
      <c r="I83" s="80">
        <f>IF(D83=0,"",H45*1000/($C$99*($C$100-$C$102*H83*($C$100-$C$101))))</f>
        <v>6125443.21</v>
      </c>
      <c r="J83" s="134">
        <f>IF(D83=0,J82*(1+H13),MIN(G83,I83))</f>
        <v>6125443.21</v>
      </c>
      <c r="K83" s="150">
        <f t="shared" si="45"/>
        <v>3.841486828</v>
      </c>
      <c r="L83" s="110">
        <f t="shared" si="46"/>
        <v>23530809.41</v>
      </c>
      <c r="M83" s="111">
        <f t="shared" si="32"/>
        <v>4833008.467</v>
      </c>
      <c r="N83" s="165" t="str">
        <f>IF(D83=0,"NOT compliant",IF($C$100-$C$102*H83*($C$100-$C$101)&lt;=H46+0.05,"Compliant","NOT compliant"))</f>
        <v>Compliant</v>
      </c>
    </row>
    <row r="84" ht="14.25" customHeight="1">
      <c r="B84" s="162" t="s">
        <v>927</v>
      </c>
      <c r="C84" s="163">
        <v>2026.0</v>
      </c>
      <c r="D84" s="118"/>
      <c r="E84" s="138" t="s">
        <v>603</v>
      </c>
      <c r="F84" s="80">
        <f>C12</f>
        <v>5020000</v>
      </c>
      <c r="G84" s="118"/>
      <c r="H84" s="70">
        <v>0.0</v>
      </c>
      <c r="I84" s="118"/>
      <c r="J84" s="134">
        <f>C14</f>
        <v>5020000</v>
      </c>
      <c r="K84" s="150">
        <f>'Task 3_P&amp;L'!C12</f>
        <v>3.841486828</v>
      </c>
      <c r="L84" s="111">
        <f>C18</f>
        <v>19284263.88</v>
      </c>
      <c r="M84" s="111">
        <f t="shared" si="32"/>
        <v>3960807.679</v>
      </c>
      <c r="N84" s="57" t="s">
        <v>262</v>
      </c>
    </row>
    <row r="85" ht="25.5" customHeight="1">
      <c r="B85" s="121"/>
      <c r="C85" s="163">
        <v>2027.0</v>
      </c>
      <c r="D85" s="80">
        <f t="shared" ref="D85:D89" si="47">MAX(0,C85-2026-$O$68)</f>
        <v>0</v>
      </c>
      <c r="E85" s="138" t="str">
        <f t="shared" ref="E85:E89" si="48">IF(D85=0,"Coal, no ESG",IF(D85=1,"Converting","Biomass in service"))</f>
        <v>Coal, no ESG</v>
      </c>
      <c r="F85" s="80" t="str">
        <f t="shared" ref="F85:F89" si="49">IF(D85=0,"",IF(D85=1,J84*(1+$C$66),F84*(1+INDEX($C$66:$F$66,MIN(D85,4)))))</f>
        <v/>
      </c>
      <c r="G85" s="80" t="str">
        <f t="shared" ref="G85:G89" si="50">IF(D85=0,"",F85*INDEX($C$67:$F$67,MIN(D85,4)))</f>
        <v/>
      </c>
      <c r="H85" s="70">
        <f t="shared" ref="H85:H89" si="51">IF(D85=0,0,IF(D85=1,$C$103,1))</f>
        <v>0</v>
      </c>
      <c r="I85" s="80" t="str">
        <f>IF(D85=0,"",D45*1000/($C$99*($C$100-$C$102*H85*($C$100-$C$101))))</f>
        <v/>
      </c>
      <c r="J85" s="134">
        <f>IF(D85=0,J84*(1+D13),MIN(G85,I85))</f>
        <v>4518000</v>
      </c>
      <c r="K85" s="150">
        <f t="shared" ref="K85:K89" si="52">IF(D85=0,$C$95,$C$94)</f>
        <v>3.769754475</v>
      </c>
      <c r="L85" s="110">
        <f t="shared" ref="L85:L89" si="53">J85*K85</f>
        <v>17031750.72</v>
      </c>
      <c r="M85" s="111">
        <f t="shared" si="32"/>
        <v>3240640.137</v>
      </c>
      <c r="N85" s="165" t="str">
        <f>IF(D85=0,"NOT compliant",IF($C$100-$C$102*H85*($C$100-$C$101)&lt;=D46+0.05,"Compliant","NOT compliant"))</f>
        <v>NOT compliant</v>
      </c>
    </row>
    <row r="86" ht="25.5" customHeight="1">
      <c r="B86" s="121"/>
      <c r="C86" s="163">
        <v>2028.0</v>
      </c>
      <c r="D86" s="80">
        <f t="shared" si="47"/>
        <v>0</v>
      </c>
      <c r="E86" s="138" t="str">
        <f t="shared" si="48"/>
        <v>Coal, no ESG</v>
      </c>
      <c r="F86" s="80" t="str">
        <f t="shared" si="49"/>
        <v/>
      </c>
      <c r="G86" s="80" t="str">
        <f t="shared" si="50"/>
        <v/>
      </c>
      <c r="H86" s="70">
        <f t="shared" si="51"/>
        <v>0</v>
      </c>
      <c r="I86" s="80" t="str">
        <f>IF(D86=0,"",E45*1000/($C$99*($C$100-$C$102*H86*($C$100-$C$101))))</f>
        <v/>
      </c>
      <c r="J86" s="134">
        <f>IF(D86=0,J85*(1+E13),MIN(G86,I86))</f>
        <v>3975840</v>
      </c>
      <c r="K86" s="150">
        <f t="shared" si="52"/>
        <v>3.769754475</v>
      </c>
      <c r="L86" s="110">
        <f t="shared" si="53"/>
        <v>14987940.63</v>
      </c>
      <c r="M86" s="111">
        <f t="shared" si="32"/>
        <v>2851763.32</v>
      </c>
      <c r="N86" s="165" t="str">
        <f>IF(D86=0,"NOT compliant",IF($C$100-$C$102*H86*($C$100-$C$101)&lt;=E46+0.05,"Compliant","NOT compliant"))</f>
        <v>NOT compliant</v>
      </c>
    </row>
    <row r="87" ht="25.5" customHeight="1">
      <c r="B87" s="121"/>
      <c r="C87" s="163">
        <v>2029.0</v>
      </c>
      <c r="D87" s="80">
        <f t="shared" si="47"/>
        <v>1</v>
      </c>
      <c r="E87" s="138" t="str">
        <f t="shared" si="48"/>
        <v>Converting</v>
      </c>
      <c r="F87" s="80">
        <f t="shared" si="49"/>
        <v>4850524.8</v>
      </c>
      <c r="G87" s="80">
        <f t="shared" si="50"/>
        <v>4452940.8</v>
      </c>
      <c r="H87" s="70">
        <f t="shared" si="51"/>
        <v>0.7534246575</v>
      </c>
      <c r="I87" s="80">
        <f>IF(D87=0,"",F45*1000/($C$99*($C$100-$C$102*H87*($C$100-$C$101))))</f>
        <v>5888757.601</v>
      </c>
      <c r="J87" s="134">
        <f>IF(D87=0,J86*(1+F13),MIN(G87,I87))</f>
        <v>4452940.8</v>
      </c>
      <c r="K87" s="150">
        <f t="shared" si="52"/>
        <v>3.841486828</v>
      </c>
      <c r="L87" s="110">
        <f t="shared" si="53"/>
        <v>17105913.43</v>
      </c>
      <c r="M87" s="111">
        <f t="shared" si="32"/>
        <v>3513394.843</v>
      </c>
      <c r="N87" s="165" t="str">
        <f>IF(D87=0,"NOT compliant",IF($C$100-$C$102*H87*($C$100-$C$101)&lt;=F46+0.05,"Compliant","NOT compliant"))</f>
        <v>Compliant</v>
      </c>
    </row>
    <row r="88" ht="25.5" customHeight="1">
      <c r="B88" s="121"/>
      <c r="C88" s="163">
        <v>2030.0</v>
      </c>
      <c r="D88" s="80">
        <f t="shared" si="47"/>
        <v>2</v>
      </c>
      <c r="E88" s="138" t="str">
        <f t="shared" si="48"/>
        <v>Biomass in service</v>
      </c>
      <c r="F88" s="80">
        <f t="shared" si="49"/>
        <v>6063156</v>
      </c>
      <c r="G88" s="80">
        <f t="shared" si="50"/>
        <v>5481093.024</v>
      </c>
      <c r="H88" s="70">
        <f t="shared" si="51"/>
        <v>1</v>
      </c>
      <c r="I88" s="80">
        <f>IF(D88=0,"",G45*1000/($C$99*($C$100-$C$102*H88*($C$100-$C$101))))</f>
        <v>7656804.013</v>
      </c>
      <c r="J88" s="134">
        <f>IF(D88=0,J87*(1+G13),MIN(G88,I88))</f>
        <v>5481093.024</v>
      </c>
      <c r="K88" s="150">
        <f t="shared" si="52"/>
        <v>3.841486828</v>
      </c>
      <c r="L88" s="110">
        <f t="shared" si="53"/>
        <v>21055546.66</v>
      </c>
      <c r="M88" s="111">
        <f t="shared" si="32"/>
        <v>4324612.617</v>
      </c>
      <c r="N88" s="165" t="str">
        <f>IF(D88=0,"NOT compliant",IF($C$100-$C$102*H88*($C$100-$C$101)&lt;=G46+0.05,"Compliant","NOT compliant"))</f>
        <v>Compliant</v>
      </c>
    </row>
    <row r="89" ht="25.5" customHeight="1">
      <c r="B89" s="123"/>
      <c r="C89" s="163">
        <v>2031.0</v>
      </c>
      <c r="D89" s="80">
        <f t="shared" si="47"/>
        <v>3</v>
      </c>
      <c r="E89" s="138" t="str">
        <f t="shared" si="48"/>
        <v>Biomass in service</v>
      </c>
      <c r="F89" s="80">
        <f t="shared" si="49"/>
        <v>7760839.68</v>
      </c>
      <c r="G89" s="80">
        <f t="shared" si="50"/>
        <v>6851366.28</v>
      </c>
      <c r="H89" s="70">
        <f t="shared" si="51"/>
        <v>1</v>
      </c>
      <c r="I89" s="80">
        <f>IF(D89=0,"",H45*1000/($C$99*($C$100-$C$102*H89*($C$100-$C$101))))</f>
        <v>6125443.21</v>
      </c>
      <c r="J89" s="134">
        <f>IF(D89=0,J88*(1+H13),MIN(G89,I89))</f>
        <v>6125443.21</v>
      </c>
      <c r="K89" s="150">
        <f t="shared" si="52"/>
        <v>3.841486828</v>
      </c>
      <c r="L89" s="110">
        <f t="shared" si="53"/>
        <v>23530809.41</v>
      </c>
      <c r="M89" s="111">
        <f t="shared" si="32"/>
        <v>4833008.467</v>
      </c>
      <c r="N89" s="165" t="str">
        <f>IF(D89=0,"NOT compliant",IF($C$100-$C$102*H89*($C$100-$C$101)&lt;=H46+0.05,"Compliant","NOT compliant"))</f>
        <v>Compliant</v>
      </c>
    </row>
    <row r="90" ht="14.25" customHeight="1">
      <c r="B90" s="122" t="s">
        <v>1042</v>
      </c>
      <c r="C90" s="216" t="str">
        <f>IF(ABS(SUM(J73:J77)-SUM(D12:H12))&lt;5,"OK","CHECK")</f>
        <v>OK</v>
      </c>
      <c r="D90" s="39"/>
      <c r="E90" s="39"/>
      <c r="F90" s="39"/>
      <c r="G90" s="39"/>
      <c r="H90" s="39"/>
      <c r="I90" s="39"/>
      <c r="J90" s="39"/>
      <c r="K90" s="39"/>
      <c r="L90" s="39"/>
      <c r="M90" s="39"/>
      <c r="N90" s="40"/>
    </row>
    <row r="91" ht="14.25" customHeight="1"/>
    <row r="92" ht="21.75" customHeight="1">
      <c r="B92" s="50" t="s">
        <v>508</v>
      </c>
      <c r="C92" s="39"/>
      <c r="D92" s="39"/>
      <c r="E92" s="39"/>
      <c r="F92" s="39"/>
      <c r="G92" s="39"/>
      <c r="H92" s="39"/>
      <c r="I92" s="39"/>
      <c r="J92" s="39"/>
      <c r="K92" s="39"/>
      <c r="L92" s="39"/>
      <c r="M92" s="39"/>
      <c r="N92" s="39"/>
      <c r="O92" s="40"/>
    </row>
    <row r="93" ht="21.75" customHeight="1">
      <c r="B93" s="51" t="s">
        <v>121</v>
      </c>
      <c r="C93" s="51" t="s">
        <v>122</v>
      </c>
      <c r="D93" s="51" t="s">
        <v>123</v>
      </c>
      <c r="E93" s="52" t="s">
        <v>124</v>
      </c>
      <c r="F93" s="39"/>
      <c r="G93" s="39"/>
      <c r="H93" s="39"/>
      <c r="I93" s="39"/>
      <c r="J93" s="39"/>
      <c r="K93" s="39"/>
      <c r="L93" s="39"/>
      <c r="M93" s="39"/>
      <c r="N93" s="39"/>
      <c r="O93" s="40"/>
    </row>
    <row r="94" ht="14.25" customHeight="1">
      <c r="B94" s="55" t="s">
        <v>1043</v>
      </c>
      <c r="C94" s="108">
        <f>'Sales Forecast &amp; Case 2A KPI'!B43</f>
        <v>3.841486828</v>
      </c>
      <c r="D94" s="57" t="s">
        <v>1044</v>
      </c>
      <c r="E94" s="146" t="s">
        <v>1045</v>
      </c>
      <c r="F94" s="39"/>
      <c r="G94" s="39"/>
      <c r="H94" s="39"/>
      <c r="I94" s="39"/>
      <c r="J94" s="39"/>
      <c r="K94" s="39"/>
      <c r="L94" s="39"/>
      <c r="M94" s="39"/>
      <c r="N94" s="39"/>
      <c r="O94" s="40"/>
    </row>
    <row r="95" ht="16.5" customHeight="1">
      <c r="B95" s="55" t="s">
        <v>1046</v>
      </c>
      <c r="C95" s="150">
        <f>SUMPRODUCT('EXW Price'!E6:E10,'EXW Price'!H6:H10)/SUM('EXW Price'!H6:H10)</f>
        <v>3.769754475</v>
      </c>
      <c r="D95" s="57" t="s">
        <v>1044</v>
      </c>
      <c r="E95" s="146" t="s">
        <v>1047</v>
      </c>
      <c r="F95" s="39"/>
      <c r="G95" s="39"/>
      <c r="H95" s="39"/>
      <c r="I95" s="39"/>
      <c r="J95" s="39"/>
      <c r="K95" s="39"/>
      <c r="L95" s="39"/>
      <c r="M95" s="39"/>
      <c r="N95" s="39"/>
      <c r="O95" s="40"/>
    </row>
    <row r="96" ht="16.5" customHeight="1">
      <c r="B96" s="55" t="s">
        <v>1048</v>
      </c>
      <c r="C96" s="70">
        <f>$C$94/$C$95-1</f>
        <v>0.01902838877</v>
      </c>
      <c r="D96" s="57" t="s">
        <v>665</v>
      </c>
      <c r="E96" s="146" t="s">
        <v>1049</v>
      </c>
      <c r="F96" s="39"/>
      <c r="G96" s="39"/>
      <c r="H96" s="39"/>
      <c r="I96" s="39"/>
      <c r="J96" s="39"/>
      <c r="K96" s="39"/>
      <c r="L96" s="39"/>
      <c r="M96" s="39"/>
      <c r="N96" s="39"/>
      <c r="O96" s="40"/>
    </row>
    <row r="97" ht="16.5" customHeight="1">
      <c r="B97" s="55" t="s">
        <v>1050</v>
      </c>
      <c r="C97" s="108">
        <f>'Sales Forecast &amp; Case 2A KPI'!B45</f>
        <v>3.052481315</v>
      </c>
      <c r="D97" s="57" t="s">
        <v>1044</v>
      </c>
      <c r="E97" s="146" t="s">
        <v>1051</v>
      </c>
      <c r="F97" s="39"/>
      <c r="G97" s="39"/>
      <c r="H97" s="39"/>
      <c r="I97" s="39"/>
      <c r="J97" s="39"/>
      <c r="K97" s="39"/>
      <c r="L97" s="39"/>
      <c r="M97" s="39"/>
      <c r="N97" s="39"/>
      <c r="O97" s="40"/>
    </row>
    <row r="98" ht="30.0" customHeight="1">
      <c r="B98" s="55" t="s">
        <v>1052</v>
      </c>
      <c r="C98" s="67">
        <f>'Sales Forecast &amp; Case 2A KPI'!B12</f>
        <v>-0.15</v>
      </c>
      <c r="D98" s="57" t="s">
        <v>1053</v>
      </c>
      <c r="E98" s="146" t="s">
        <v>1054</v>
      </c>
      <c r="F98" s="39"/>
      <c r="G98" s="39"/>
      <c r="H98" s="39"/>
      <c r="I98" s="39"/>
      <c r="J98" s="39"/>
      <c r="K98" s="39"/>
      <c r="L98" s="39"/>
      <c r="M98" s="39"/>
      <c r="N98" s="39"/>
      <c r="O98" s="40"/>
    </row>
    <row r="99" ht="16.5" customHeight="1">
      <c r="B99" s="55" t="s">
        <v>789</v>
      </c>
      <c r="C99" s="65">
        <f>'Task 1_ESG Roadmap'!$C$111</f>
        <v>0.05976095618</v>
      </c>
      <c r="D99" s="57" t="s">
        <v>134</v>
      </c>
      <c r="E99" s="146" t="s">
        <v>1055</v>
      </c>
      <c r="F99" s="39"/>
      <c r="G99" s="39"/>
      <c r="H99" s="39"/>
      <c r="I99" s="39"/>
      <c r="J99" s="39"/>
      <c r="K99" s="39"/>
      <c r="L99" s="39"/>
      <c r="M99" s="39"/>
      <c r="N99" s="39"/>
      <c r="O99" s="40"/>
    </row>
    <row r="100" ht="16.5" customHeight="1">
      <c r="B100" s="55" t="s">
        <v>137</v>
      </c>
      <c r="C100" s="68">
        <f>'Task 1_ESG Roadmap'!$C$112</f>
        <v>94.6</v>
      </c>
      <c r="D100" s="57" t="s">
        <v>138</v>
      </c>
      <c r="E100" s="146" t="s">
        <v>1056</v>
      </c>
      <c r="F100" s="39"/>
      <c r="G100" s="39"/>
      <c r="H100" s="39"/>
      <c r="I100" s="39"/>
      <c r="J100" s="39"/>
      <c r="K100" s="39"/>
      <c r="L100" s="39"/>
      <c r="M100" s="39"/>
      <c r="N100" s="39"/>
      <c r="O100" s="40"/>
    </row>
    <row r="101" ht="16.5" customHeight="1">
      <c r="B101" s="55" t="s">
        <v>151</v>
      </c>
      <c r="C101" s="68">
        <f>'Task 1_ESG Roadmap'!$C$116</f>
        <v>9.1</v>
      </c>
      <c r="D101" s="57" t="s">
        <v>138</v>
      </c>
      <c r="E101" s="146" t="s">
        <v>1056</v>
      </c>
      <c r="F101" s="39"/>
      <c r="G101" s="39"/>
      <c r="H101" s="39"/>
      <c r="I101" s="39"/>
      <c r="J101" s="39"/>
      <c r="K101" s="39"/>
      <c r="L101" s="39"/>
      <c r="M101" s="39"/>
      <c r="N101" s="39"/>
      <c r="O101" s="40"/>
    </row>
    <row r="102" ht="16.5" customHeight="1">
      <c r="B102" s="55" t="s">
        <v>1057</v>
      </c>
      <c r="C102" s="67">
        <f>'Carbon-Allowed Capacity'!$C$21</f>
        <v>0.78</v>
      </c>
      <c r="D102" s="57" t="s">
        <v>146</v>
      </c>
      <c r="E102" s="146" t="s">
        <v>1058</v>
      </c>
      <c r="F102" s="39"/>
      <c r="G102" s="39"/>
      <c r="H102" s="39"/>
      <c r="I102" s="39"/>
      <c r="J102" s="39"/>
      <c r="K102" s="39"/>
      <c r="L102" s="39"/>
      <c r="M102" s="39"/>
      <c r="N102" s="39"/>
      <c r="O102" s="40"/>
    </row>
    <row r="103" ht="16.5" customHeight="1">
      <c r="B103" s="55" t="s">
        <v>1061</v>
      </c>
      <c r="C103" s="67">
        <f>'Task 1_ESG Roadmap'!$D$61</f>
        <v>0.7534246575</v>
      </c>
      <c r="D103" s="57" t="s">
        <v>158</v>
      </c>
      <c r="E103" s="146" t="s">
        <v>1063</v>
      </c>
      <c r="F103" s="39"/>
      <c r="G103" s="39"/>
      <c r="H103" s="39"/>
      <c r="I103" s="39"/>
      <c r="J103" s="39"/>
      <c r="K103" s="39"/>
      <c r="L103" s="39"/>
      <c r="M103" s="39"/>
      <c r="N103" s="39"/>
      <c r="O103" s="40"/>
    </row>
    <row r="104" ht="14.25" customHeight="1"/>
    <row r="105" ht="21.75" customHeight="1">
      <c r="B105" s="50" t="s">
        <v>583</v>
      </c>
      <c r="C105" s="39"/>
      <c r="D105" s="39"/>
      <c r="E105" s="39"/>
      <c r="F105" s="39"/>
      <c r="G105" s="39"/>
      <c r="H105" s="39"/>
      <c r="I105" s="39"/>
      <c r="J105" s="39"/>
      <c r="K105" s="39"/>
      <c r="L105" s="39"/>
      <c r="M105" s="39"/>
      <c r="N105" s="39"/>
      <c r="O105" s="40"/>
    </row>
    <row r="106" ht="21.75" customHeight="1">
      <c r="B106" s="124" t="s">
        <v>428</v>
      </c>
      <c r="C106" s="52" t="s">
        <v>429</v>
      </c>
      <c r="D106" s="39"/>
      <c r="E106" s="39"/>
      <c r="F106" s="39"/>
      <c r="G106" s="39"/>
      <c r="H106" s="39"/>
      <c r="I106" s="40"/>
      <c r="J106" s="52" t="s">
        <v>430</v>
      </c>
      <c r="K106" s="39"/>
      <c r="L106" s="39"/>
      <c r="M106" s="39"/>
      <c r="N106" s="39"/>
      <c r="O106" s="40"/>
    </row>
    <row r="107" ht="30.0" customHeight="1">
      <c r="B107" s="73" t="s">
        <v>1064</v>
      </c>
      <c r="C107" s="141" t="s">
        <v>1065</v>
      </c>
      <c r="D107" s="39"/>
      <c r="E107" s="39"/>
      <c r="F107" s="39"/>
      <c r="G107" s="39"/>
      <c r="H107" s="39"/>
      <c r="I107" s="40"/>
      <c r="J107" s="146" t="s">
        <v>1066</v>
      </c>
      <c r="K107" s="39"/>
      <c r="L107" s="39"/>
      <c r="M107" s="39"/>
      <c r="N107" s="39"/>
      <c r="O107" s="40"/>
    </row>
    <row r="108" ht="47.25" customHeight="1">
      <c r="B108" s="73" t="s">
        <v>1067</v>
      </c>
      <c r="C108" s="141" t="s">
        <v>1068</v>
      </c>
      <c r="D108" s="39"/>
      <c r="E108" s="39"/>
      <c r="F108" s="39"/>
      <c r="G108" s="39"/>
      <c r="H108" s="39"/>
      <c r="I108" s="40"/>
      <c r="J108" s="146" t="s">
        <v>1069</v>
      </c>
      <c r="K108" s="39"/>
      <c r="L108" s="39"/>
      <c r="M108" s="39"/>
      <c r="N108" s="39"/>
      <c r="O108" s="40"/>
    </row>
    <row r="109" ht="47.25" customHeight="1">
      <c r="B109" s="73" t="s">
        <v>499</v>
      </c>
      <c r="C109" s="141" t="s">
        <v>1070</v>
      </c>
      <c r="D109" s="39"/>
      <c r="E109" s="39"/>
      <c r="F109" s="39"/>
      <c r="G109" s="39"/>
      <c r="H109" s="39"/>
      <c r="I109" s="40"/>
      <c r="J109" s="146" t="s">
        <v>1071</v>
      </c>
      <c r="K109" s="39"/>
      <c r="L109" s="39"/>
      <c r="M109" s="39"/>
      <c r="N109" s="39"/>
      <c r="O109" s="40"/>
    </row>
    <row r="110" ht="33.0" customHeight="1">
      <c r="B110" s="73" t="s">
        <v>575</v>
      </c>
      <c r="C110" s="141" t="s">
        <v>1072</v>
      </c>
      <c r="D110" s="39"/>
      <c r="E110" s="39"/>
      <c r="F110" s="39"/>
      <c r="G110" s="39"/>
      <c r="H110" s="39"/>
      <c r="I110" s="40"/>
      <c r="J110" s="146" t="s">
        <v>1073</v>
      </c>
      <c r="K110" s="39"/>
      <c r="L110" s="39"/>
      <c r="M110" s="39"/>
      <c r="N110" s="39"/>
      <c r="O110" s="40"/>
    </row>
    <row r="111" ht="33.0" customHeight="1">
      <c r="B111" s="73" t="s">
        <v>1074</v>
      </c>
      <c r="C111" s="141" t="s">
        <v>1075</v>
      </c>
      <c r="D111" s="39"/>
      <c r="E111" s="39"/>
      <c r="F111" s="39"/>
      <c r="G111" s="39"/>
      <c r="H111" s="39"/>
      <c r="I111" s="40"/>
      <c r="J111" s="146" t="s">
        <v>1076</v>
      </c>
      <c r="K111" s="39"/>
      <c r="L111" s="39"/>
      <c r="M111" s="39"/>
      <c r="N111" s="39"/>
      <c r="O111" s="40"/>
    </row>
    <row r="112" ht="14.25" customHeight="1"/>
    <row r="113" ht="14.25" customHeight="1">
      <c r="B113" s="96" t="s">
        <v>1077</v>
      </c>
    </row>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3">
    <mergeCell ref="J67:L67"/>
    <mergeCell ref="J68:L68"/>
    <mergeCell ref="M68:N68"/>
    <mergeCell ref="B70:O70"/>
    <mergeCell ref="B72:B77"/>
    <mergeCell ref="B78:B83"/>
    <mergeCell ref="B84:B89"/>
    <mergeCell ref="C90:N90"/>
    <mergeCell ref="B92:O92"/>
    <mergeCell ref="E93:O93"/>
    <mergeCell ref="E94:O94"/>
    <mergeCell ref="E95:O95"/>
    <mergeCell ref="E96:O96"/>
    <mergeCell ref="E97:O97"/>
    <mergeCell ref="E98:O98"/>
    <mergeCell ref="E99:O99"/>
    <mergeCell ref="E100:O100"/>
    <mergeCell ref="E101:O101"/>
    <mergeCell ref="E102:O102"/>
    <mergeCell ref="E103:O103"/>
    <mergeCell ref="B105:O105"/>
    <mergeCell ref="C109:I109"/>
    <mergeCell ref="C110:I110"/>
    <mergeCell ref="J110:O110"/>
    <mergeCell ref="C111:I111"/>
    <mergeCell ref="J111:O111"/>
    <mergeCell ref="B113:O113"/>
    <mergeCell ref="C106:I106"/>
    <mergeCell ref="J106:O106"/>
    <mergeCell ref="C107:I107"/>
    <mergeCell ref="J107:O107"/>
    <mergeCell ref="C108:I108"/>
    <mergeCell ref="J108:O108"/>
    <mergeCell ref="J109:O109"/>
    <mergeCell ref="B1:O1"/>
    <mergeCell ref="B2:O2"/>
    <mergeCell ref="C4:D4"/>
    <mergeCell ref="E4:F4"/>
    <mergeCell ref="G4:I4"/>
    <mergeCell ref="J4:L4"/>
    <mergeCell ref="M4:O4"/>
    <mergeCell ref="G6:I6"/>
    <mergeCell ref="J6:L6"/>
    <mergeCell ref="C5:D5"/>
    <mergeCell ref="E5:F5"/>
    <mergeCell ref="G5:I5"/>
    <mergeCell ref="J5:L5"/>
    <mergeCell ref="M5:O5"/>
    <mergeCell ref="C6:D6"/>
    <mergeCell ref="E6:F6"/>
    <mergeCell ref="M6:O6"/>
    <mergeCell ref="B8:O8"/>
    <mergeCell ref="J9:O9"/>
    <mergeCell ref="B10:I10"/>
    <mergeCell ref="J10:O16"/>
    <mergeCell ref="B17:I17"/>
    <mergeCell ref="J17:O23"/>
    <mergeCell ref="B57:I57"/>
    <mergeCell ref="B61:I61"/>
    <mergeCell ref="J24:O30"/>
    <mergeCell ref="B26:I26"/>
    <mergeCell ref="J31:O37"/>
    <mergeCell ref="J38:O44"/>
    <mergeCell ref="B42:I42"/>
    <mergeCell ref="B50:O50"/>
    <mergeCell ref="B52:I52"/>
    <mergeCell ref="J51:O51"/>
    <mergeCell ref="J52:O63"/>
    <mergeCell ref="J65:L65"/>
    <mergeCell ref="M65:N65"/>
    <mergeCell ref="J66:L66"/>
    <mergeCell ref="M66:N66"/>
    <mergeCell ref="M67:N67"/>
  </mergeCells>
  <conditionalFormatting sqref="C90">
    <cfRule type="expression" dxfId="0" priority="1">
      <formula>OR(LEFT(C90,3)="NOT",C90="FAIL",C90="CHECK",C90="No",C90="Not eligible")</formula>
    </cfRule>
  </conditionalFormatting>
  <conditionalFormatting sqref="D47:H48">
    <cfRule type="expression" dxfId="0" priority="2">
      <formula>OR(LEFT(D47,3)="NOT",D47="FAIL",D47="CHECK",D47="No",D47="Not eligible")</formula>
    </cfRule>
  </conditionalFormatting>
  <conditionalFormatting sqref="N73:N77">
    <cfRule type="expression" dxfId="0" priority="3">
      <formula>OR(LEFT(N73,3)="NOT",N73="FAIL",N73="CHECK",N73="No",N73="Not eligible")</formula>
    </cfRule>
  </conditionalFormatting>
  <conditionalFormatting sqref="N79:N83">
    <cfRule type="expression" dxfId="0" priority="4">
      <formula>OR(LEFT(N79,3)="NOT",N79="FAIL",N79="CHECK",N79="No",N79="Not eligible")</formula>
    </cfRule>
  </conditionalFormatting>
  <conditionalFormatting sqref="N85:N89">
    <cfRule type="expression" dxfId="0" priority="5">
      <formula>OR(LEFT(N85,3)="NOT",N85="FAIL",N85="CHECK",N85="No",N85="Not eligible")</formula>
    </cfRule>
  </conditionalFormatting>
  <printOptions/>
  <pageMargins bottom="0.5" footer="0.0" header="0.0" left="0.4" right="0.4" top="0.5"/>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pageSetUpPr fitToPage="1"/>
  </sheetPr>
  <sheetViews>
    <sheetView showGridLines="0" workbookViewId="0"/>
  </sheetViews>
  <sheetFormatPr customHeight="1" defaultColWidth="14.43" defaultRowHeight="15.0"/>
  <cols>
    <col customWidth="1" min="1" max="1" width="2.0"/>
    <col customWidth="1" min="2" max="2" width="44.0"/>
    <col customWidth="1" min="3" max="3" width="13.71"/>
    <col customWidth="1" min="4" max="5" width="15.71"/>
    <col customWidth="1" min="6" max="6" width="13.57"/>
    <col customWidth="1" min="7" max="7" width="13.0"/>
    <col customWidth="1" min="8" max="8" width="15.71"/>
    <col customWidth="1" min="9" max="9" width="2.43"/>
    <col customWidth="1" min="10" max="12" width="13.0"/>
    <col customWidth="1" min="13" max="15" width="13.71"/>
    <col customWidth="1" min="16" max="16" width="19.29"/>
    <col customWidth="1" min="17" max="26" width="8.71"/>
  </cols>
  <sheetData>
    <row r="1" ht="30.0" customHeight="1">
      <c r="A1" s="37"/>
      <c r="B1" s="38" t="s">
        <v>633</v>
      </c>
      <c r="C1" s="39"/>
      <c r="D1" s="39"/>
      <c r="E1" s="39"/>
      <c r="F1" s="39"/>
      <c r="G1" s="39"/>
      <c r="H1" s="39"/>
      <c r="I1" s="39"/>
      <c r="J1" s="39"/>
      <c r="K1" s="39"/>
      <c r="L1" s="39"/>
      <c r="M1" s="39"/>
      <c r="N1" s="39"/>
      <c r="O1" s="39"/>
      <c r="P1" s="40"/>
    </row>
    <row r="2" ht="43.5" customHeight="1">
      <c r="B2" s="41" t="s">
        <v>634</v>
      </c>
      <c r="C2" s="39"/>
      <c r="D2" s="39"/>
      <c r="E2" s="39"/>
      <c r="F2" s="39"/>
      <c r="G2" s="39"/>
      <c r="H2" s="39"/>
      <c r="I2" s="39"/>
      <c r="J2" s="39"/>
      <c r="K2" s="39"/>
      <c r="L2" s="39"/>
      <c r="M2" s="39"/>
      <c r="N2" s="39"/>
      <c r="O2" s="39"/>
      <c r="P2" s="40"/>
    </row>
    <row r="3" ht="14.25" customHeight="1"/>
    <row r="4" ht="25.5" customHeight="1">
      <c r="B4" s="42" t="s">
        <v>635</v>
      </c>
      <c r="C4" s="43" t="s">
        <v>636</v>
      </c>
      <c r="D4" s="40"/>
      <c r="E4" s="43" t="str">
        <f>"REVENUE 2027-2031 · "&amp;$C$5</f>
        <v>REVENUE 2027-2031 · A+H</v>
      </c>
      <c r="F4" s="40"/>
      <c r="G4" s="43" t="str">
        <f>"NET PROFIT 2027-2031 · "&amp;$C$5</f>
        <v>NET PROFIT 2027-2031 · A+H</v>
      </c>
      <c r="H4" s="40"/>
      <c r="J4" s="43" t="s">
        <v>637</v>
      </c>
      <c r="K4" s="40"/>
      <c r="L4" s="43" t="str">
        <f>"FREE CASH FLOW · "&amp;$C$5</f>
        <v>FREE CASH FLOW · A+H</v>
      </c>
      <c r="M4" s="40"/>
      <c r="N4" s="43" t="str">
        <f>"BUYER CAPS MET, NET · "&amp;$C$5</f>
        <v>BUYER CAPS MET, NET · A+H</v>
      </c>
      <c r="O4" s="39"/>
      <c r="P4" s="40"/>
    </row>
    <row r="5" ht="33.75" customHeight="1">
      <c r="B5" s="97" t="s">
        <v>638</v>
      </c>
      <c r="C5" s="100" t="str">
        <f>C101</f>
        <v>A+H</v>
      </c>
      <c r="D5" s="40"/>
      <c r="E5" s="131">
        <f t="array" ref="E5">INDEX($C$41:$F$41,MATCH($C$5,$C$39:$F$39,0))</f>
        <v>147878484.9</v>
      </c>
      <c r="F5" s="40"/>
      <c r="G5" s="99">
        <f t="array" ref="G5">INDEX($C$44:$F$44,MATCH($C$5,$C$39:$F$39,0))</f>
        <v>13610613.04</v>
      </c>
      <c r="H5" s="40"/>
      <c r="J5" s="98">
        <f>MIN(C249:G249)</f>
        <v>0.05351456457</v>
      </c>
      <c r="K5" s="40"/>
      <c r="L5" s="99">
        <f t="array" ref="L5">INDEX($C$47:$F$47,MATCH($C$5,$C$39:$F$39,0))</f>
        <v>11426824.5</v>
      </c>
      <c r="M5" s="40"/>
      <c r="N5" s="100" t="str">
        <f t="array" ref="N5">INDEX($C$56:$F$56,MATCH($C$5,$C$39:$F$39,0))&amp;" / 5 years"</f>
        <v>5 / 5 years</v>
      </c>
      <c r="O5" s="39"/>
      <c r="P5" s="40"/>
    </row>
    <row r="6" ht="30.0" customHeight="1">
      <c r="B6" s="48" t="str">
        <f>"Tranche 1 = "&amp;TEXT('Task 1_ESG Roadmap'!C89/'Task 1_ESG Roadmap'!$C$107,"0%")&amp;" of CAPEX, in service 1 Apr 2027; Tranche 2 in 2028"</f>
        <v>Tranche 1 = 95% of CAPEX, in service 1 Apr 2027; Tranche 2 in 2028</v>
      </c>
      <c r="C6" s="49" t="str">
        <f>"TOPSIS CC "&amp;TEXT(MAX(C98:F98),"0.0000")&amp;" (CRITIC weights)"</f>
        <v>TOPSIS CC 0.5750 (CRITIC weights)</v>
      </c>
      <c r="D6" s="40"/>
      <c r="E6" s="49" t="str">
        <f t="array" ref="E6">"+"&amp;TEXT((INDEX($C$41:$F$41,MATCH($C$5,$C$39:$F$39,0))-C41)/1000000,"0.0")&amp;"M vs Option A"</f>
        <v>+13.5M vs Option A</v>
      </c>
      <c r="F6" s="40"/>
      <c r="G6" s="49" t="str">
        <f t="array" ref="G6">"+"&amp;TEXT((INDEX($C$44:$F$44,MATCH($C$5,$C$39:$F$39,0))-C44)/1000000,"0.00")&amp;"M vs Option A"</f>
        <v>+1.36M vs Option A</v>
      </c>
      <c r="H6" s="40"/>
      <c r="I6" s="53"/>
      <c r="J6" s="49" t="s">
        <v>641</v>
      </c>
      <c r="K6" s="40"/>
      <c r="L6" s="49" t="s">
        <v>653</v>
      </c>
      <c r="M6" s="40"/>
      <c r="N6" s="49" t="str">
        <f t="array" ref="N6">"Net of counted credits; in-boundary 2031 cut "&amp;TEXT(INDEX($C$51:$F$51,MATCH($C$5,$C$39:$F$39,0)),"0.0%")</f>
        <v>Net of counted credits; in-boundary 2031 cut 60.1%</v>
      </c>
      <c r="O6" s="39"/>
      <c r="P6" s="40"/>
    </row>
    <row r="7" ht="14.25" customHeight="1">
      <c r="J7" s="53"/>
      <c r="K7" s="53"/>
      <c r="L7" s="53"/>
      <c r="M7" s="53"/>
      <c r="N7" s="53"/>
      <c r="O7" s="53"/>
      <c r="P7" s="53"/>
    </row>
    <row r="8" ht="21.75" customHeight="1">
      <c r="B8" s="103" t="s">
        <v>654</v>
      </c>
      <c r="C8" s="4"/>
      <c r="D8" s="4"/>
      <c r="E8" s="4"/>
      <c r="F8" s="4"/>
      <c r="G8" s="4"/>
      <c r="H8" s="4"/>
      <c r="I8" s="4"/>
      <c r="J8" s="4"/>
      <c r="K8" s="4"/>
      <c r="L8" s="4"/>
      <c r="M8" s="4"/>
      <c r="N8" s="4"/>
      <c r="O8" s="4"/>
      <c r="P8" s="6"/>
    </row>
    <row r="9" ht="45.75" customHeight="1">
      <c r="B9" s="51" t="s">
        <v>656</v>
      </c>
      <c r="C9" s="51" t="s">
        <v>657</v>
      </c>
      <c r="D9" s="51" t="s">
        <v>658</v>
      </c>
      <c r="E9" s="51" t="s">
        <v>659</v>
      </c>
      <c r="F9" s="52" t="s">
        <v>430</v>
      </c>
      <c r="G9" s="39"/>
      <c r="H9" s="40"/>
      <c r="J9" s="54" t="s">
        <v>660</v>
      </c>
      <c r="K9" s="39"/>
      <c r="L9" s="39"/>
      <c r="M9" s="39"/>
      <c r="N9" s="39"/>
      <c r="O9" s="39"/>
      <c r="P9" s="40"/>
    </row>
    <row r="10" ht="47.25" customHeight="1">
      <c r="B10" s="55" t="s">
        <v>661</v>
      </c>
      <c r="C10" s="109">
        <f>'Task 1_ESG Roadmap'!E10+'Task 1_ESG Roadmap'!E11+'Task 1_ESG Roadmap'!E12+'Task 1_ESG Roadmap'!E13+'Task 1_ESG Roadmap'!E14+'Task 1_ESG Roadmap'!E17+'Task 1_ESG Roadmap'!E18+'Task 1_ESG Roadmap'!E19</f>
        <v>830500</v>
      </c>
      <c r="D10" s="70">
        <f>C10/'Task 1_ESG Roadmap'!$C$107</f>
        <v>0.8830409357</v>
      </c>
      <c r="E10" s="168" t="s">
        <v>662</v>
      </c>
      <c r="F10" s="146" t="s">
        <v>663</v>
      </c>
      <c r="G10" s="39"/>
      <c r="H10" s="40"/>
      <c r="J10" s="141" t="s">
        <v>664</v>
      </c>
      <c r="K10" s="39"/>
      <c r="L10" s="39"/>
      <c r="M10" s="39"/>
      <c r="N10" s="40"/>
      <c r="O10" s="71">
        <v>0.2</v>
      </c>
      <c r="P10" s="57" t="s">
        <v>665</v>
      </c>
    </row>
    <row r="11" ht="42.75" customHeight="1">
      <c r="B11" s="55" t="s">
        <v>666</v>
      </c>
      <c r="C11" s="109">
        <f>'Task 1_ESG Roadmap'!E15+'Task 1_ESG Roadmap'!E20</f>
        <v>66000</v>
      </c>
      <c r="D11" s="70">
        <f>C11/'Task 1_ESG Roadmap'!$C$107</f>
        <v>0.0701754386</v>
      </c>
      <c r="E11" s="168" t="s">
        <v>662</v>
      </c>
      <c r="F11" s="146" t="s">
        <v>667</v>
      </c>
      <c r="G11" s="39"/>
      <c r="H11" s="40"/>
      <c r="J11" s="141" t="s">
        <v>669</v>
      </c>
      <c r="K11" s="39"/>
      <c r="L11" s="39"/>
      <c r="M11" s="39"/>
      <c r="N11" s="40"/>
      <c r="O11" s="111">
        <f>O10*'Task 1_ESG Roadmap'!$C$107-C10</f>
        <v>-642400</v>
      </c>
      <c r="P11" s="57" t="s">
        <v>674</v>
      </c>
    </row>
    <row r="12" ht="33.0" customHeight="1">
      <c r="B12" s="55" t="s">
        <v>675</v>
      </c>
      <c r="C12" s="109">
        <f>'Task 1_ESG Roadmap'!E16</f>
        <v>44000</v>
      </c>
      <c r="D12" s="70">
        <f>C12/'Task 1_ESG Roadmap'!$C$107</f>
        <v>0.04678362573</v>
      </c>
      <c r="E12" s="168" t="s">
        <v>676</v>
      </c>
      <c r="F12" s="146" t="s">
        <v>677</v>
      </c>
      <c r="G12" s="39"/>
      <c r="H12" s="40"/>
      <c r="J12" s="141" t="s">
        <v>678</v>
      </c>
      <c r="K12" s="39"/>
      <c r="L12" s="39"/>
      <c r="M12" s="39"/>
      <c r="N12" s="40"/>
      <c r="O12" s="80">
        <f>'Task 1_ESG Roadmap'!D55*'Task 1_ESG Roadmap'!$C$112/1000</f>
        <v>31785.6</v>
      </c>
      <c r="P12" s="57" t="s">
        <v>679</v>
      </c>
    </row>
    <row r="13" ht="14.25" customHeight="1">
      <c r="B13" s="78" t="s">
        <v>680</v>
      </c>
      <c r="C13" s="117">
        <f>SUM(C10:C12)</f>
        <v>940500</v>
      </c>
      <c r="D13" s="120">
        <f>C13/'Task 1_ESG Roadmap'!$C$107</f>
        <v>1</v>
      </c>
      <c r="E13" s="77" t="str">
        <f>IF(ABS(C13-'Task 1_ESG Roadmap'!$C$107)&lt;1,"OK","CHECK")</f>
        <v>OK</v>
      </c>
      <c r="F13" s="146" t="s">
        <v>681</v>
      </c>
      <c r="G13" s="39"/>
      <c r="H13" s="40"/>
      <c r="J13" s="141" t="s">
        <v>682</v>
      </c>
      <c r="K13" s="39"/>
      <c r="L13" s="39"/>
      <c r="M13" s="39"/>
      <c r="N13" s="40"/>
      <c r="O13" s="56">
        <f>'Emission Target'!D7</f>
        <v>24123</v>
      </c>
      <c r="P13" s="57" t="s">
        <v>679</v>
      </c>
    </row>
    <row r="14" ht="69.75" customHeight="1">
      <c r="J14" s="170" t="str">
        <f>"The firing core alone is "&amp;TEXT(C10/'Task 1_ESG Roadmap'!$C$107,"0.0%")&amp;" of the envelope and must be in service before the 2027 cap applies. An even 20% a year schedule leaves TEXIN on coal in 2027 at "&amp;TEXT(O12,"#,##0")&amp;" t vs a cap of "&amp;TEXT(O13,"#,##0")&amp;" t, so it is not a compliant option. The real choice is when the core goes in (2027, 2028 or 2029) and how hard it is run."</f>
        <v>The firing core alone is 88.3% of the envelope and must be in service before the 2027 cap applies. An even 20% a year schedule leaves TEXIN on coal in 2027 at 31,786 t vs a cap of 24,123 t, so it is not a compliant option. The real choice is when the core goes in (2027, 2028 or 2029) and how hard it is run.</v>
      </c>
      <c r="K14" s="39"/>
      <c r="L14" s="39"/>
      <c r="M14" s="39"/>
      <c r="N14" s="39"/>
      <c r="O14" s="39"/>
      <c r="P14" s="40"/>
    </row>
    <row r="15" ht="14.25" customHeight="1"/>
    <row r="16" ht="21.75" customHeight="1">
      <c r="B16" s="103" t="s">
        <v>683</v>
      </c>
      <c r="C16" s="4"/>
      <c r="D16" s="4"/>
      <c r="E16" s="4"/>
      <c r="F16" s="4"/>
      <c r="G16" s="4"/>
      <c r="H16" s="4"/>
      <c r="I16" s="4"/>
      <c r="J16" s="4"/>
      <c r="K16" s="4"/>
      <c r="L16" s="4"/>
      <c r="M16" s="4"/>
      <c r="N16" s="4"/>
      <c r="O16" s="4"/>
      <c r="P16" s="6"/>
    </row>
    <row r="17" ht="31.5" customHeight="1">
      <c r="B17" s="124" t="s">
        <v>684</v>
      </c>
      <c r="C17" s="51" t="s">
        <v>685</v>
      </c>
      <c r="D17" s="51" t="s">
        <v>686</v>
      </c>
      <c r="E17" s="52" t="s">
        <v>687</v>
      </c>
      <c r="F17" s="39"/>
      <c r="G17" s="39"/>
      <c r="H17" s="40"/>
      <c r="I17" s="37"/>
      <c r="J17" s="52" t="s">
        <v>688</v>
      </c>
      <c r="K17" s="39"/>
      <c r="L17" s="39"/>
      <c r="M17" s="40"/>
      <c r="N17" s="52" t="s">
        <v>689</v>
      </c>
      <c r="O17" s="39"/>
      <c r="P17" s="40"/>
    </row>
    <row r="18" ht="33.0" customHeight="1">
      <c r="B18" s="73" t="s">
        <v>691</v>
      </c>
      <c r="C18" s="161">
        <v>2027.0</v>
      </c>
      <c r="D18" s="173">
        <f t="shared" ref="D18:D21" si="1">C18+1</f>
        <v>2028</v>
      </c>
      <c r="E18" s="141" t="s">
        <v>692</v>
      </c>
      <c r="F18" s="39"/>
      <c r="G18" s="39"/>
      <c r="H18" s="40"/>
      <c r="I18" s="37"/>
      <c r="J18" s="141" t="s">
        <v>694</v>
      </c>
      <c r="K18" s="39"/>
      <c r="L18" s="39"/>
      <c r="M18" s="40"/>
      <c r="N18" s="146" t="s">
        <v>695</v>
      </c>
      <c r="O18" s="39"/>
      <c r="P18" s="40"/>
    </row>
    <row r="19" ht="33.0" customHeight="1">
      <c r="B19" s="73" t="s">
        <v>696</v>
      </c>
      <c r="C19" s="161">
        <v>2027.0</v>
      </c>
      <c r="D19" s="173">
        <f t="shared" si="1"/>
        <v>2028</v>
      </c>
      <c r="E19" s="141" t="s">
        <v>698</v>
      </c>
      <c r="F19" s="39"/>
      <c r="G19" s="39"/>
      <c r="H19" s="40"/>
      <c r="I19" s="37"/>
      <c r="J19" s="141" t="s">
        <v>699</v>
      </c>
      <c r="K19" s="39"/>
      <c r="L19" s="39"/>
      <c r="M19" s="40"/>
      <c r="N19" s="146" t="s">
        <v>700</v>
      </c>
      <c r="O19" s="39"/>
      <c r="P19" s="40"/>
    </row>
    <row r="20" ht="33.0" customHeight="1">
      <c r="B20" s="73" t="s">
        <v>701</v>
      </c>
      <c r="C20" s="161">
        <v>2027.0</v>
      </c>
      <c r="D20" s="173">
        <f t="shared" si="1"/>
        <v>2028</v>
      </c>
      <c r="E20" s="141" t="s">
        <v>702</v>
      </c>
      <c r="F20" s="39"/>
      <c r="G20" s="39"/>
      <c r="H20" s="40"/>
      <c r="I20" s="37"/>
      <c r="J20" s="141" t="s">
        <v>703</v>
      </c>
      <c r="K20" s="39"/>
      <c r="L20" s="39"/>
      <c r="M20" s="40"/>
      <c r="N20" s="146" t="s">
        <v>704</v>
      </c>
      <c r="O20" s="39"/>
      <c r="P20" s="40"/>
    </row>
    <row r="21" ht="33.0" customHeight="1">
      <c r="B21" s="73" t="s">
        <v>705</v>
      </c>
      <c r="C21" s="161">
        <v>2027.0</v>
      </c>
      <c r="D21" s="173">
        <f t="shared" si="1"/>
        <v>2028</v>
      </c>
      <c r="E21" s="141" t="s">
        <v>706</v>
      </c>
      <c r="F21" s="39"/>
      <c r="G21" s="39"/>
      <c r="H21" s="40"/>
      <c r="I21" s="37"/>
      <c r="J21" s="141" t="s">
        <v>703</v>
      </c>
      <c r="K21" s="39"/>
      <c r="L21" s="39"/>
      <c r="M21" s="40"/>
      <c r="N21" s="146" t="s">
        <v>791</v>
      </c>
      <c r="O21" s="39"/>
      <c r="P21" s="40"/>
    </row>
    <row r="22" ht="33.0" customHeight="1">
      <c r="B22" s="73" t="s">
        <v>792</v>
      </c>
      <c r="C22" s="16" t="s">
        <v>793</v>
      </c>
      <c r="D22" s="16" t="s">
        <v>174</v>
      </c>
      <c r="E22" s="141" t="s">
        <v>794</v>
      </c>
      <c r="F22" s="39"/>
      <c r="G22" s="39"/>
      <c r="H22" s="40"/>
      <c r="I22" s="37"/>
      <c r="J22" s="141" t="s">
        <v>795</v>
      </c>
      <c r="K22" s="39"/>
      <c r="L22" s="39"/>
      <c r="M22" s="40"/>
      <c r="N22" s="146" t="s">
        <v>796</v>
      </c>
      <c r="O22" s="39"/>
      <c r="P22" s="40"/>
    </row>
    <row r="23" ht="14.25" customHeight="1"/>
    <row r="24" ht="14.25" customHeight="1">
      <c r="B24" s="55" t="s">
        <v>797</v>
      </c>
      <c r="C24" s="81">
        <f>MAX('Task 2_Conversion &amp; Forecast'!C27:'Task 2_Conversion &amp; Forecast'!H27)</f>
        <v>1.72325</v>
      </c>
      <c r="D24" s="57" t="s">
        <v>798</v>
      </c>
      <c r="E24" s="146" t="s">
        <v>799</v>
      </c>
      <c r="F24" s="39"/>
      <c r="G24" s="39"/>
      <c r="H24" s="39"/>
      <c r="I24" s="39"/>
      <c r="J24" s="39"/>
      <c r="K24" s="39"/>
      <c r="L24" s="39"/>
      <c r="M24" s="40"/>
    </row>
    <row r="25" ht="14.25" customHeight="1">
      <c r="B25" s="55" t="s">
        <v>800</v>
      </c>
      <c r="C25" s="80">
        <f>C24*'Sales Forecast &amp; Case 2A KPI'!C21</f>
        <v>8650715</v>
      </c>
      <c r="D25" s="57" t="s">
        <v>131</v>
      </c>
      <c r="E25" s="146" t="s">
        <v>801</v>
      </c>
      <c r="F25" s="39"/>
      <c r="G25" s="39"/>
      <c r="H25" s="39"/>
      <c r="I25" s="39"/>
      <c r="J25" s="39"/>
      <c r="K25" s="39"/>
      <c r="L25" s="39"/>
      <c r="M25" s="40"/>
    </row>
    <row r="26" ht="14.25" customHeight="1"/>
    <row r="27" ht="21.75" customHeight="1">
      <c r="B27" s="50" t="s">
        <v>802</v>
      </c>
      <c r="C27" s="39"/>
      <c r="D27" s="39"/>
      <c r="E27" s="39"/>
      <c r="F27" s="39"/>
      <c r="G27" s="39"/>
      <c r="H27" s="39"/>
      <c r="I27" s="39"/>
      <c r="J27" s="39"/>
      <c r="K27" s="39"/>
      <c r="L27" s="39"/>
      <c r="M27" s="39"/>
      <c r="N27" s="39"/>
      <c r="O27" s="39"/>
      <c r="P27" s="40"/>
    </row>
    <row r="28" ht="21.75" customHeight="1">
      <c r="B28" s="124" t="s">
        <v>803</v>
      </c>
      <c r="C28" s="51" t="s">
        <v>122</v>
      </c>
      <c r="D28" s="51" t="s">
        <v>123</v>
      </c>
      <c r="E28" s="52" t="s">
        <v>124</v>
      </c>
      <c r="F28" s="39"/>
      <c r="G28" s="39"/>
      <c r="H28" s="39"/>
      <c r="I28" s="39"/>
      <c r="J28" s="39"/>
      <c r="K28" s="39"/>
      <c r="L28" s="39"/>
      <c r="M28" s="39"/>
      <c r="N28" s="39"/>
      <c r="O28" s="39"/>
      <c r="P28" s="40"/>
    </row>
    <row r="29" ht="47.25" customHeight="1">
      <c r="B29" s="55" t="s">
        <v>804</v>
      </c>
      <c r="C29" s="189">
        <v>14.8</v>
      </c>
      <c r="D29" s="57" t="s">
        <v>805</v>
      </c>
      <c r="E29" s="146" t="s">
        <v>806</v>
      </c>
      <c r="F29" s="39"/>
      <c r="G29" s="39"/>
      <c r="H29" s="39"/>
      <c r="I29" s="39"/>
      <c r="J29" s="39"/>
      <c r="K29" s="39"/>
      <c r="L29" s="39"/>
      <c r="M29" s="39"/>
      <c r="N29" s="39"/>
      <c r="O29" s="39"/>
      <c r="P29" s="40"/>
    </row>
    <row r="30" ht="14.25" customHeight="1">
      <c r="B30" s="55" t="s">
        <v>807</v>
      </c>
      <c r="C30" s="71">
        <v>1.0</v>
      </c>
      <c r="D30" s="57" t="s">
        <v>665</v>
      </c>
      <c r="E30" s="146" t="s">
        <v>808</v>
      </c>
      <c r="F30" s="39"/>
      <c r="G30" s="39"/>
      <c r="H30" s="39"/>
      <c r="I30" s="39"/>
      <c r="J30" s="39"/>
      <c r="K30" s="39"/>
      <c r="L30" s="39"/>
      <c r="M30" s="39"/>
      <c r="N30" s="39"/>
      <c r="O30" s="39"/>
      <c r="P30" s="40"/>
    </row>
    <row r="31" ht="14.25" customHeight="1">
      <c r="B31" s="55" t="s">
        <v>809</v>
      </c>
      <c r="C31" s="71">
        <v>0.5</v>
      </c>
      <c r="D31" s="57" t="s">
        <v>665</v>
      </c>
      <c r="E31" s="146" t="s">
        <v>810</v>
      </c>
      <c r="F31" s="39"/>
      <c r="G31" s="39"/>
      <c r="H31" s="39"/>
      <c r="I31" s="39"/>
      <c r="J31" s="39"/>
      <c r="K31" s="39"/>
      <c r="L31" s="39"/>
      <c r="M31" s="39"/>
      <c r="N31" s="39"/>
      <c r="O31" s="39"/>
      <c r="P31" s="40"/>
    </row>
    <row r="32" ht="47.25" customHeight="1">
      <c r="B32" s="55" t="s">
        <v>811</v>
      </c>
      <c r="C32" s="71">
        <v>0.3</v>
      </c>
      <c r="D32" s="57" t="s">
        <v>812</v>
      </c>
      <c r="E32" s="146" t="s">
        <v>813</v>
      </c>
      <c r="F32" s="39"/>
      <c r="G32" s="39"/>
      <c r="H32" s="39"/>
      <c r="I32" s="39"/>
      <c r="J32" s="39"/>
      <c r="K32" s="39"/>
      <c r="L32" s="39"/>
      <c r="M32" s="39"/>
      <c r="N32" s="39"/>
      <c r="O32" s="39"/>
      <c r="P32" s="40"/>
    </row>
    <row r="33" ht="14.25" customHeight="1">
      <c r="B33" s="55" t="s">
        <v>814</v>
      </c>
      <c r="C33" s="74" t="s">
        <v>815</v>
      </c>
      <c r="D33" s="57" t="s">
        <v>816</v>
      </c>
      <c r="E33" s="146" t="s">
        <v>817</v>
      </c>
      <c r="F33" s="39"/>
      <c r="G33" s="39"/>
      <c r="H33" s="39"/>
      <c r="I33" s="39"/>
      <c r="J33" s="39"/>
      <c r="K33" s="39"/>
      <c r="L33" s="39"/>
      <c r="M33" s="39"/>
      <c r="N33" s="39"/>
      <c r="O33" s="39"/>
      <c r="P33" s="40"/>
    </row>
    <row r="34" ht="33.0" customHeight="1">
      <c r="B34" s="78" t="s">
        <v>818</v>
      </c>
      <c r="C34" s="190">
        <f>(SUM(L190:P190)-SUM(L191:P191))/SUM(D156:H156)</f>
        <v>21.19596377</v>
      </c>
      <c r="D34" s="57" t="s">
        <v>805</v>
      </c>
      <c r="E34" s="146" t="s">
        <v>820</v>
      </c>
      <c r="F34" s="39"/>
      <c r="G34" s="39"/>
      <c r="H34" s="39"/>
      <c r="I34" s="39"/>
      <c r="J34" s="39"/>
      <c r="K34" s="39"/>
      <c r="L34" s="39"/>
      <c r="M34" s="39"/>
      <c r="N34" s="39"/>
      <c r="O34" s="39"/>
      <c r="P34" s="40"/>
    </row>
    <row r="35" ht="47.25" customHeight="1">
      <c r="B35" s="78" t="s">
        <v>821</v>
      </c>
      <c r="C35" s="170" t="s">
        <v>822</v>
      </c>
      <c r="D35" s="39"/>
      <c r="E35" s="39"/>
      <c r="F35" s="39"/>
      <c r="G35" s="39"/>
      <c r="H35" s="39"/>
      <c r="I35" s="39"/>
      <c r="J35" s="39"/>
      <c r="K35" s="39"/>
      <c r="L35" s="39"/>
      <c r="M35" s="39"/>
      <c r="N35" s="39"/>
      <c r="O35" s="39"/>
      <c r="P35" s="40"/>
    </row>
    <row r="36" ht="19.5" customHeight="1">
      <c r="B36" s="55" t="s">
        <v>824</v>
      </c>
      <c r="C36" s="157" t="s">
        <v>825</v>
      </c>
      <c r="D36" s="39"/>
      <c r="E36" s="40"/>
      <c r="F36" s="157" t="s">
        <v>858</v>
      </c>
      <c r="G36" s="39"/>
      <c r="H36" s="40"/>
      <c r="I36" s="118"/>
      <c r="J36" s="157" t="s">
        <v>861</v>
      </c>
      <c r="K36" s="39"/>
      <c r="L36" s="40"/>
      <c r="M36" s="157" t="s">
        <v>864</v>
      </c>
      <c r="N36" s="39"/>
      <c r="O36" s="39"/>
      <c r="P36" s="40"/>
    </row>
    <row r="37" ht="14.25" customHeight="1"/>
    <row r="38" ht="21.75" customHeight="1">
      <c r="B38" s="103" t="s">
        <v>869</v>
      </c>
      <c r="C38" s="4"/>
      <c r="D38" s="4"/>
      <c r="E38" s="4"/>
      <c r="F38" s="4"/>
      <c r="G38" s="4"/>
      <c r="H38" s="4"/>
      <c r="I38" s="4"/>
      <c r="J38" s="4"/>
      <c r="K38" s="4"/>
      <c r="L38" s="4"/>
      <c r="M38" s="4"/>
      <c r="N38" s="4"/>
      <c r="O38" s="4"/>
      <c r="P38" s="6"/>
    </row>
    <row r="39" ht="21.75" customHeight="1">
      <c r="B39" s="124" t="s">
        <v>0</v>
      </c>
      <c r="C39" s="51" t="s">
        <v>872</v>
      </c>
      <c r="D39" s="51" t="s">
        <v>873</v>
      </c>
      <c r="E39" s="51" t="s">
        <v>874</v>
      </c>
      <c r="F39" s="51" t="s">
        <v>875</v>
      </c>
      <c r="G39" s="51" t="s">
        <v>876</v>
      </c>
      <c r="H39" s="51" t="s">
        <v>877</v>
      </c>
      <c r="I39" s="37"/>
      <c r="J39" s="52" t="s">
        <v>879</v>
      </c>
      <c r="K39" s="39"/>
      <c r="L39" s="39"/>
      <c r="M39" s="39"/>
      <c r="N39" s="39"/>
      <c r="O39" s="39"/>
      <c r="P39" s="40"/>
    </row>
    <row r="40" ht="14.25" customHeight="1">
      <c r="B40" s="104" t="s">
        <v>881</v>
      </c>
      <c r="C40" s="39"/>
      <c r="D40" s="39"/>
      <c r="E40" s="39"/>
      <c r="F40" s="39"/>
      <c r="G40" s="39"/>
      <c r="H40" s="40"/>
      <c r="I40" s="37"/>
      <c r="J40" s="200"/>
      <c r="K40" s="39"/>
      <c r="L40" s="39"/>
      <c r="M40" s="39"/>
      <c r="N40" s="39"/>
      <c r="O40" s="39"/>
      <c r="P40" s="40"/>
    </row>
    <row r="41" ht="18.0" customHeight="1">
      <c r="B41" s="55" t="s">
        <v>886</v>
      </c>
      <c r="C41" s="111">
        <f>SUM(D126:H126)</f>
        <v>134359590.6</v>
      </c>
      <c r="D41" s="111">
        <f>SUM(D127:H127)</f>
        <v>147878484.9</v>
      </c>
      <c r="E41" s="111">
        <f>SUM(D128:H128)</f>
        <v>147878484.9</v>
      </c>
      <c r="F41" s="111">
        <f>SUM(D129:H129)</f>
        <v>147878484.9</v>
      </c>
      <c r="G41" s="57" t="s">
        <v>890</v>
      </c>
      <c r="H41" s="57" t="s">
        <v>891</v>
      </c>
      <c r="I41" s="37"/>
      <c r="J41" s="146" t="s">
        <v>893</v>
      </c>
      <c r="K41" s="39"/>
      <c r="L41" s="39"/>
      <c r="M41" s="39"/>
      <c r="N41" s="39"/>
      <c r="O41" s="39"/>
      <c r="P41" s="40"/>
    </row>
    <row r="42" ht="18.0" customHeight="1">
      <c r="B42" s="55" t="s">
        <v>894</v>
      </c>
      <c r="C42" s="81">
        <f>H119/C119</f>
        <v>1.220207811</v>
      </c>
      <c r="D42" s="81">
        <f>H120/C120</f>
        <v>1.72325</v>
      </c>
      <c r="E42" s="81">
        <f>H121/C121</f>
        <v>1.72325</v>
      </c>
      <c r="F42" s="81">
        <f>H122/C122</f>
        <v>1.72325</v>
      </c>
      <c r="G42" s="57" t="s">
        <v>890</v>
      </c>
      <c r="H42" s="57" t="s">
        <v>895</v>
      </c>
      <c r="I42" s="37"/>
      <c r="J42" s="146" t="s">
        <v>896</v>
      </c>
      <c r="K42" s="39"/>
      <c r="L42" s="39"/>
      <c r="M42" s="39"/>
      <c r="N42" s="39"/>
      <c r="O42" s="39"/>
      <c r="P42" s="40"/>
    </row>
    <row r="43" ht="14.25" customHeight="1">
      <c r="B43" s="104" t="s">
        <v>897</v>
      </c>
      <c r="C43" s="39"/>
      <c r="D43" s="39"/>
      <c r="E43" s="39"/>
      <c r="F43" s="39"/>
      <c r="G43" s="39"/>
      <c r="H43" s="40"/>
      <c r="I43" s="37"/>
      <c r="J43" s="200"/>
      <c r="K43" s="39"/>
      <c r="L43" s="39"/>
      <c r="M43" s="39"/>
      <c r="N43" s="39"/>
      <c r="O43" s="39"/>
      <c r="P43" s="40"/>
    </row>
    <row r="44" ht="18.0" customHeight="1">
      <c r="B44" s="55" t="s">
        <v>899</v>
      </c>
      <c r="C44" s="111">
        <f>SUM(D210:H210)</f>
        <v>12255574.34</v>
      </c>
      <c r="D44" s="111">
        <f>SUM(D211:H211)</f>
        <v>13593650.42</v>
      </c>
      <c r="E44" s="111">
        <f>SUM(D212:H212)</f>
        <v>13627575.66</v>
      </c>
      <c r="F44" s="111">
        <f>SUM(D213:H213)</f>
        <v>13610613.04</v>
      </c>
      <c r="G44" s="57" t="s">
        <v>890</v>
      </c>
      <c r="H44" s="57" t="s">
        <v>928</v>
      </c>
      <c r="I44" s="37"/>
      <c r="J44" s="146" t="s">
        <v>929</v>
      </c>
      <c r="K44" s="39"/>
      <c r="L44" s="39"/>
      <c r="M44" s="39"/>
      <c r="N44" s="39"/>
      <c r="O44" s="39"/>
      <c r="P44" s="40"/>
    </row>
    <row r="45" ht="18.0" customHeight="1">
      <c r="B45" s="55" t="s">
        <v>930</v>
      </c>
      <c r="C45" s="114">
        <f>MIN(L210:P210)</f>
        <v>0.08582987908</v>
      </c>
      <c r="D45" s="114">
        <f>MIN(L211:P211)</f>
        <v>0.089860483</v>
      </c>
      <c r="E45" s="114">
        <f>MIN(L212:P212)</f>
        <v>0.09054106473</v>
      </c>
      <c r="F45" s="114">
        <f>MIN(L213:P213)</f>
        <v>0.09020077387</v>
      </c>
      <c r="G45" s="57" t="s">
        <v>890</v>
      </c>
      <c r="H45" s="57" t="s">
        <v>931</v>
      </c>
      <c r="I45" s="37"/>
      <c r="J45" s="146" t="s">
        <v>932</v>
      </c>
      <c r="K45" s="39"/>
      <c r="L45" s="39"/>
      <c r="M45" s="39"/>
      <c r="N45" s="39"/>
      <c r="O45" s="39"/>
      <c r="P45" s="40"/>
    </row>
    <row r="46" ht="14.25" customHeight="1">
      <c r="B46" s="104" t="s">
        <v>933</v>
      </c>
      <c r="C46" s="39"/>
      <c r="D46" s="39"/>
      <c r="E46" s="39"/>
      <c r="F46" s="39"/>
      <c r="G46" s="39"/>
      <c r="H46" s="40"/>
      <c r="I46" s="37"/>
      <c r="J46" s="200"/>
      <c r="K46" s="39"/>
      <c r="L46" s="39"/>
      <c r="M46" s="39"/>
      <c r="N46" s="39"/>
      <c r="O46" s="39"/>
      <c r="P46" s="40"/>
    </row>
    <row r="47" ht="18.0" customHeight="1">
      <c r="B47" s="55" t="s">
        <v>934</v>
      </c>
      <c r="C47" s="111">
        <f>P224</f>
        <v>11584555.93</v>
      </c>
      <c r="D47" s="111">
        <f>P225</f>
        <v>11409861.88</v>
      </c>
      <c r="E47" s="111">
        <f>P226</f>
        <v>11443787.12</v>
      </c>
      <c r="F47" s="111">
        <f>P227</f>
        <v>11426824.5</v>
      </c>
      <c r="G47" s="57" t="s">
        <v>890</v>
      </c>
      <c r="H47" s="57" t="s">
        <v>935</v>
      </c>
      <c r="I47" s="37"/>
      <c r="J47" s="146" t="s">
        <v>936</v>
      </c>
      <c r="K47" s="39"/>
      <c r="L47" s="39"/>
      <c r="M47" s="39"/>
      <c r="N47" s="39"/>
      <c r="O47" s="39"/>
      <c r="P47" s="40"/>
    </row>
    <row r="48" ht="18.0" customHeight="1">
      <c r="B48" s="55" t="s">
        <v>937</v>
      </c>
      <c r="C48" s="111">
        <f>MIN(D224:H224)</f>
        <v>974255.2726</v>
      </c>
      <c r="D48" s="111">
        <f>MIN(D225:H225)</f>
        <v>974255.2726</v>
      </c>
      <c r="E48" s="111">
        <f>MIN(D226:H226)</f>
        <v>974255.2726</v>
      </c>
      <c r="F48" s="111">
        <f>MIN(D227:H227)</f>
        <v>974255.2726</v>
      </c>
      <c r="G48" s="57" t="s">
        <v>890</v>
      </c>
      <c r="H48" s="57" t="s">
        <v>938</v>
      </c>
      <c r="I48" s="37"/>
      <c r="J48" s="146" t="s">
        <v>939</v>
      </c>
      <c r="K48" s="39"/>
      <c r="L48" s="39"/>
      <c r="M48" s="39"/>
      <c r="N48" s="39"/>
      <c r="O48" s="39"/>
      <c r="P48" s="40"/>
    </row>
    <row r="49" ht="14.25" customHeight="1">
      <c r="B49" s="104" t="s">
        <v>940</v>
      </c>
      <c r="C49" s="39"/>
      <c r="D49" s="39"/>
      <c r="E49" s="39"/>
      <c r="F49" s="39"/>
      <c r="G49" s="39"/>
      <c r="H49" s="40"/>
      <c r="I49" s="37"/>
      <c r="J49" s="200"/>
      <c r="K49" s="39"/>
      <c r="L49" s="39"/>
      <c r="M49" s="39"/>
      <c r="N49" s="39"/>
      <c r="O49" s="39"/>
      <c r="P49" s="40"/>
    </row>
    <row r="50" ht="18.0" customHeight="1">
      <c r="B50" s="55" t="s">
        <v>941</v>
      </c>
      <c r="C50" s="111">
        <f>SUM(L168:P168)</f>
        <v>0</v>
      </c>
      <c r="D50" s="111">
        <f>SUM(L169:P169)</f>
        <v>0</v>
      </c>
      <c r="E50" s="111">
        <f>SUM(L170:P170)</f>
        <v>98127.02475</v>
      </c>
      <c r="F50" s="111">
        <f>SUM(L171:P171)</f>
        <v>49063.51238</v>
      </c>
      <c r="G50" s="57" t="s">
        <v>650</v>
      </c>
      <c r="H50" s="57" t="s">
        <v>942</v>
      </c>
      <c r="I50" s="37"/>
      <c r="J50" s="146" t="s">
        <v>943</v>
      </c>
      <c r="K50" s="39"/>
      <c r="L50" s="39"/>
      <c r="M50" s="39"/>
      <c r="N50" s="39"/>
      <c r="O50" s="39"/>
      <c r="P50" s="40"/>
    </row>
    <row r="51" ht="18.0" customHeight="1">
      <c r="B51" s="55" t="s">
        <v>944</v>
      </c>
      <c r="C51" s="70">
        <f>1-P147/'Task 1_ESG Roadmap'!$C$73</f>
        <v>0.6620566105</v>
      </c>
      <c r="D51" s="70">
        <f>1-P148/'Task 1_ESG Roadmap'!$C$73</f>
        <v>0.6784845402</v>
      </c>
      <c r="E51" s="70">
        <f>1-P149/'Task 1_ESG Roadmap'!$C$73</f>
        <v>0.5227362579</v>
      </c>
      <c r="F51" s="70">
        <f>1-P150/'Task 1_ESG Roadmap'!$C$73</f>
        <v>0.600610399</v>
      </c>
      <c r="G51" s="57" t="s">
        <v>890</v>
      </c>
      <c r="H51" s="57" t="s">
        <v>945</v>
      </c>
      <c r="I51" s="37"/>
      <c r="J51" s="146" t="s">
        <v>946</v>
      </c>
      <c r="K51" s="39"/>
      <c r="L51" s="39"/>
      <c r="M51" s="39"/>
      <c r="N51" s="39"/>
      <c r="O51" s="39"/>
      <c r="P51" s="40"/>
    </row>
    <row r="52" ht="14.25" customHeight="1">
      <c r="B52" s="104" t="s">
        <v>947</v>
      </c>
      <c r="C52" s="39"/>
      <c r="D52" s="39"/>
      <c r="E52" s="39"/>
      <c r="F52" s="39"/>
      <c r="G52" s="39"/>
      <c r="H52" s="40"/>
      <c r="I52" s="37"/>
      <c r="J52" s="200"/>
      <c r="K52" s="39"/>
      <c r="L52" s="39"/>
      <c r="M52" s="39"/>
      <c r="N52" s="39"/>
      <c r="O52" s="39"/>
      <c r="P52" s="40"/>
    </row>
    <row r="53" ht="30.0" customHeight="1">
      <c r="B53" s="55" t="s">
        <v>948</v>
      </c>
      <c r="C53" s="81">
        <f>MAX(D175:H175)/'Task 3_P&amp;L'!$N$46</f>
        <v>1.3786</v>
      </c>
      <c r="D53" s="81">
        <f>MAX(D176:H176)/'Task 3_P&amp;L'!$N$46</f>
        <v>1.550925</v>
      </c>
      <c r="E53" s="81">
        <f>MAX(D177:H177)/'Task 3_P&amp;L'!$N$46</f>
        <v>1.3786</v>
      </c>
      <c r="F53" s="81">
        <f>MAX(D178:H178)/'Task 3_P&amp;L'!$N$46</f>
        <v>1.4647625</v>
      </c>
      <c r="G53" s="57" t="s">
        <v>650</v>
      </c>
      <c r="H53" s="57" t="s">
        <v>949</v>
      </c>
      <c r="I53" s="37"/>
      <c r="J53" s="146" t="s">
        <v>950</v>
      </c>
      <c r="K53" s="39"/>
      <c r="L53" s="39"/>
      <c r="M53" s="39"/>
      <c r="N53" s="39"/>
      <c r="O53" s="39"/>
      <c r="P53" s="40"/>
    </row>
    <row r="54" ht="14.25" customHeight="1">
      <c r="B54" s="104" t="s">
        <v>951</v>
      </c>
      <c r="C54" s="39"/>
      <c r="D54" s="39"/>
      <c r="E54" s="39"/>
      <c r="F54" s="39"/>
      <c r="G54" s="39"/>
      <c r="H54" s="40"/>
      <c r="I54" s="37"/>
      <c r="J54" s="200"/>
      <c r="K54" s="39"/>
      <c r="L54" s="39"/>
      <c r="M54" s="39"/>
      <c r="N54" s="39"/>
      <c r="O54" s="39"/>
      <c r="P54" s="40"/>
    </row>
    <row r="55" ht="18.0" customHeight="1">
      <c r="B55" s="55" t="s">
        <v>952</v>
      </c>
      <c r="C55" s="77" t="str">
        <f>IF(COUNTIF(D217:H217,"PASS")=5,"Yes","No")</f>
        <v>Yes</v>
      </c>
      <c r="D55" s="77" t="str">
        <f>IF(COUNTIF(D218:H218,"PASS")=5,"Yes","No")</f>
        <v>Yes</v>
      </c>
      <c r="E55" s="77" t="str">
        <f>IF(COUNTIF(D219:H219,"PASS")=5,"Yes","No")</f>
        <v>Yes</v>
      </c>
      <c r="F55" s="77" t="str">
        <f>IF(COUNTIF(D220:H220,"PASS")=5,"Yes","No")</f>
        <v>Yes</v>
      </c>
      <c r="G55" s="57" t="s">
        <v>662</v>
      </c>
      <c r="H55" s="118"/>
      <c r="I55" s="37"/>
      <c r="J55" s="146" t="s">
        <v>953</v>
      </c>
      <c r="K55" s="39"/>
      <c r="L55" s="39"/>
      <c r="M55" s="39"/>
      <c r="N55" s="39"/>
      <c r="O55" s="39"/>
      <c r="P55" s="40"/>
    </row>
    <row r="56" ht="30.0" customHeight="1">
      <c r="B56" s="55" t="s">
        <v>954</v>
      </c>
      <c r="C56" s="80">
        <f>COUNTIF(D161:H161,"Compliant")</f>
        <v>5</v>
      </c>
      <c r="D56" s="80">
        <f>COUNTIF(D162:H162,"Compliant")</f>
        <v>5</v>
      </c>
      <c r="E56" s="80">
        <f>COUNTIF(D163:H163,"Compliant")</f>
        <v>4</v>
      </c>
      <c r="F56" s="80">
        <f>COUNTIF(D164:H164,"Compliant")</f>
        <v>5</v>
      </c>
      <c r="G56" s="57" t="s">
        <v>1001</v>
      </c>
      <c r="H56" s="118"/>
      <c r="I56" s="37"/>
      <c r="J56" s="146" t="s">
        <v>1002</v>
      </c>
      <c r="K56" s="39"/>
      <c r="L56" s="39"/>
      <c r="M56" s="39"/>
      <c r="N56" s="39"/>
      <c r="O56" s="39"/>
      <c r="P56" s="40"/>
    </row>
    <row r="57" ht="30.0" customHeight="1">
      <c r="B57" s="55" t="s">
        <v>1004</v>
      </c>
      <c r="C57" s="70">
        <f>MAX(D154/D$112,E154/E$112,F154/F$112,G154/G$112,H154/H$112)</f>
        <v>0</v>
      </c>
      <c r="D57" s="70">
        <f>MAX(D155/D$112,E155/E$112,F155/F$112,G155/G$112,H155/H$112)</f>
        <v>0</v>
      </c>
      <c r="E57" s="70">
        <f>MAX(D156/D$112,E156/E$112,F156/F$112,G156/G$112,H156/H$112)</f>
        <v>0.4326341173</v>
      </c>
      <c r="F57" s="70">
        <f>MAX(D157/D$112,E157/E$112,F157/F$112,G157/G$112,H157/H$112)</f>
        <v>0.2163170587</v>
      </c>
      <c r="G57" s="57" t="s">
        <v>1019</v>
      </c>
      <c r="H57" s="118"/>
      <c r="I57" s="37"/>
      <c r="J57" s="146" t="s">
        <v>1022</v>
      </c>
      <c r="K57" s="39"/>
      <c r="L57" s="39"/>
      <c r="M57" s="39"/>
      <c r="N57" s="39"/>
      <c r="O57" s="39"/>
      <c r="P57" s="40"/>
    </row>
    <row r="58" ht="18.0" customHeight="1">
      <c r="B58" s="55" t="s">
        <v>1023</v>
      </c>
      <c r="C58" s="77" t="str">
        <f t="shared" ref="C58:F58" si="2">IF(C56=5,"Yes","No")</f>
        <v>Yes</v>
      </c>
      <c r="D58" s="77" t="str">
        <f t="shared" si="2"/>
        <v>Yes</v>
      </c>
      <c r="E58" s="77" t="str">
        <f t="shared" si="2"/>
        <v>No</v>
      </c>
      <c r="F58" s="77" t="str">
        <f t="shared" si="2"/>
        <v>Yes</v>
      </c>
      <c r="G58" s="57" t="s">
        <v>662</v>
      </c>
      <c r="H58" s="118"/>
      <c r="I58" s="37"/>
      <c r="J58" s="146" t="s">
        <v>1024</v>
      </c>
      <c r="K58" s="39"/>
      <c r="L58" s="39"/>
      <c r="M58" s="39"/>
      <c r="N58" s="39"/>
      <c r="O58" s="39"/>
      <c r="P58" s="40"/>
    </row>
    <row r="59" ht="18.0" customHeight="1">
      <c r="B59" s="55" t="s">
        <v>1025</v>
      </c>
      <c r="C59" s="77" t="str">
        <f>IF(ABS(SUM(L196:P196)-'Task 1_ESG Roadmap'!$C$107)&lt;1,"Yes","No")</f>
        <v>Yes</v>
      </c>
      <c r="D59" s="77" t="str">
        <f>IF(ABS(SUM(L197:P197)-'Task 1_ESG Roadmap'!$C$107)&lt;1,"Yes","No")</f>
        <v>Yes</v>
      </c>
      <c r="E59" s="77" t="str">
        <f>IF(ABS(SUM(L198:P198)-'Task 1_ESG Roadmap'!$C$107)&lt;1,"Yes","No")</f>
        <v>Yes</v>
      </c>
      <c r="F59" s="77" t="str">
        <f>IF(ABS(SUM(L199:P199)-'Task 1_ESG Roadmap'!$C$107)&lt;1,"Yes","No")</f>
        <v>Yes</v>
      </c>
      <c r="G59" s="57" t="s">
        <v>662</v>
      </c>
      <c r="H59" s="118"/>
      <c r="I59" s="37"/>
      <c r="J59" s="146" t="s">
        <v>1026</v>
      </c>
      <c r="K59" s="39"/>
      <c r="L59" s="39"/>
      <c r="M59" s="39"/>
      <c r="N59" s="39"/>
      <c r="O59" s="39"/>
      <c r="P59" s="40"/>
    </row>
    <row r="60" ht="18.0" customHeight="1">
      <c r="B60" s="78" t="s">
        <v>1027</v>
      </c>
      <c r="C60" s="77" t="str">
        <f t="shared" ref="C60:F60" si="3">IF(AND(C55="Yes",C58="Yes",C59="Yes"),"Yes","No")</f>
        <v>Yes</v>
      </c>
      <c r="D60" s="77" t="str">
        <f t="shared" si="3"/>
        <v>Yes</v>
      </c>
      <c r="E60" s="77" t="str">
        <f t="shared" si="3"/>
        <v>No</v>
      </c>
      <c r="F60" s="77" t="str">
        <f t="shared" si="3"/>
        <v>Yes</v>
      </c>
      <c r="G60" s="57" t="s">
        <v>662</v>
      </c>
      <c r="H60" s="118"/>
      <c r="I60" s="37"/>
      <c r="J60" s="146" t="s">
        <v>1028</v>
      </c>
      <c r="K60" s="39"/>
      <c r="L60" s="39"/>
      <c r="M60" s="39"/>
      <c r="N60" s="39"/>
      <c r="O60" s="39"/>
      <c r="P60" s="40"/>
    </row>
    <row r="61" ht="14.25" customHeight="1"/>
    <row r="62" ht="40.5" customHeight="1">
      <c r="B62" s="104" t="s">
        <v>1029</v>
      </c>
      <c r="C62" s="39"/>
      <c r="D62" s="39"/>
      <c r="E62" s="39"/>
      <c r="F62" s="39"/>
      <c r="G62" s="39"/>
      <c r="H62" s="40"/>
      <c r="I62" s="37"/>
      <c r="J62" s="214" t="s">
        <v>1030</v>
      </c>
      <c r="K62" s="39"/>
      <c r="L62" s="39"/>
      <c r="M62" s="39"/>
      <c r="N62" s="39"/>
      <c r="O62" s="39"/>
      <c r="P62" s="40"/>
    </row>
    <row r="63" ht="31.5" customHeight="1">
      <c r="B63" s="124" t="s">
        <v>684</v>
      </c>
      <c r="C63" s="51" t="s">
        <v>1031</v>
      </c>
      <c r="D63" s="51" t="s">
        <v>1032</v>
      </c>
      <c r="E63" s="51" t="s">
        <v>1033</v>
      </c>
      <c r="F63" s="51" t="s">
        <v>1034</v>
      </c>
      <c r="G63" s="51" t="s">
        <v>1035</v>
      </c>
      <c r="H63" s="51" t="s">
        <v>1036</v>
      </c>
      <c r="I63" s="37"/>
      <c r="J63" s="51" t="s">
        <v>1037</v>
      </c>
      <c r="K63" s="51" t="s">
        <v>1038</v>
      </c>
      <c r="L63" s="51" t="s">
        <v>1039</v>
      </c>
      <c r="M63" s="125" t="s">
        <v>1040</v>
      </c>
      <c r="N63" s="39"/>
      <c r="O63" s="39"/>
      <c r="P63" s="40"/>
    </row>
    <row r="64" ht="30.0" customHeight="1">
      <c r="B64" s="55" t="s">
        <v>876</v>
      </c>
      <c r="C64" s="57" t="s">
        <v>890</v>
      </c>
      <c r="D64" s="57" t="s">
        <v>890</v>
      </c>
      <c r="E64" s="57" t="s">
        <v>890</v>
      </c>
      <c r="F64" s="57" t="s">
        <v>890</v>
      </c>
      <c r="G64" s="57" t="s">
        <v>890</v>
      </c>
      <c r="H64" s="57" t="s">
        <v>890</v>
      </c>
      <c r="I64" s="37"/>
      <c r="J64" s="57" t="s">
        <v>650</v>
      </c>
      <c r="K64" s="57" t="s">
        <v>890</v>
      </c>
      <c r="L64" s="57" t="s">
        <v>650</v>
      </c>
      <c r="M64" s="146" t="s">
        <v>1041</v>
      </c>
      <c r="N64" s="39"/>
      <c r="O64" s="39"/>
      <c r="P64" s="40"/>
    </row>
    <row r="65" ht="16.5" customHeight="1">
      <c r="B65" s="55" t="s">
        <v>872</v>
      </c>
      <c r="C65" s="215">
        <f>IF(MAX($C$41:$F$41)=MIN($C$41:$F$41),1,(C41-MIN($C$41:$F$41))/(MAX($C$41:$F$41)-MIN($C$41:$F$41)))</f>
        <v>0</v>
      </c>
      <c r="D65" s="215">
        <f>IF(MAX($C$42:$F$42)=MIN($C$42:$F$42),1,(C42-MIN($C$42:$F$42))/(MAX($C$42:$F$42)-MIN($C$42:$F$42)))</f>
        <v>0</v>
      </c>
      <c r="E65" s="215">
        <f>IF(MAX($C$44:$F$44)=MIN($C$44:$F$44),1,(C44-MIN($C$44:$F$44))/(MAX($C$44:$F$44)-MIN($C$44:$F$44)))</f>
        <v>0</v>
      </c>
      <c r="F65" s="215">
        <f>IF(MAX($C$45:$F$45)=MIN($C$45:$F$45),1,(C45-MIN($C$45:$F$45))/(MAX($C$45:$F$45)-MIN($C$45:$F$45)))</f>
        <v>0</v>
      </c>
      <c r="G65" s="215">
        <f>IF(MAX($C$47:$F$47)=MIN($C$47:$F$47),1,(C47-MIN($C$47:$F$47))/(MAX($C$47:$F$47)-MIN($C$47:$F$47)))</f>
        <v>1</v>
      </c>
      <c r="H65" s="215">
        <f>IF(MAX($C$48:$F$48)=MIN($C$48:$F$48),1,(C48-MIN($C$48:$F$48))/(MAX($C$48:$F$48)-MIN($C$48:$F$48)))</f>
        <v>1</v>
      </c>
      <c r="I65" s="37"/>
      <c r="J65" s="215">
        <f>IF(MAX($C$50:$F$50)=MIN($C$50:$F$50),1,(MAX($C$50:$F$50)-C50)/(MAX($C$50:$F$50)-MIN($C$50:$F$50)))</f>
        <v>1</v>
      </c>
      <c r="K65" s="215">
        <f>IF(MAX($C$51:$F$51)=MIN($C$51:$F$51),1,(C51-MIN($C$51:$F$51))/(MAX($C$51:$F$51)-MIN($C$51:$F$51)))</f>
        <v>0.894522563</v>
      </c>
      <c r="L65" s="215">
        <f>IF(MAX($C$53:$F$53)=MIN($C$53:$F$53),1,(MAX($C$53:$F$53)-C53)/(MAX($C$53:$F$53)-MIN($C$53:$F$53)))</f>
        <v>1</v>
      </c>
      <c r="M65" s="53"/>
      <c r="N65" s="53"/>
      <c r="O65" s="53"/>
      <c r="P65" s="53"/>
    </row>
    <row r="66" ht="16.5" customHeight="1">
      <c r="B66" s="55" t="s">
        <v>873</v>
      </c>
      <c r="C66" s="215">
        <f>IF(MAX($C$41:$F$41)=MIN($C$41:$F$41),1,(D41-MIN($C$41:$F$41))/(MAX($C$41:$F$41)-MIN($C$41:$F$41)))</f>
        <v>1</v>
      </c>
      <c r="D66" s="215">
        <f>IF(MAX($C$42:$F$42)=MIN($C$42:$F$42),1,(D42-MIN($C$42:$F$42))/(MAX($C$42:$F$42)-MIN($C$42:$F$42)))</f>
        <v>1</v>
      </c>
      <c r="E66" s="215">
        <f>IF(MAX($C$44:$F$44)=MIN($C$44:$F$44),1,(D44-MIN($C$44:$F$44))/(MAX($C$44:$F$44)-MIN($C$44:$F$44)))</f>
        <v>0.9752731743</v>
      </c>
      <c r="F66" s="215">
        <f>IF(MAX($C$45:$F$45)=MIN($C$45:$F$45),1,(D45-MIN($C$45:$F$45))/(MAX($C$45:$F$45)-MIN($C$45:$F$45)))</f>
        <v>0.855539183</v>
      </c>
      <c r="G66" s="215">
        <f>IF(MAX($C$47:$F$47)=MIN($C$47:$F$47),1,(D47-MIN($C$47:$F$47))/(MAX($C$47:$F$47)-MIN($C$47:$F$47)))</f>
        <v>0</v>
      </c>
      <c r="H66" s="215">
        <f>IF(MAX($C$48:$F$48)=MIN($C$48:$F$48),1,(D48-MIN($C$48:$F$48))/(MAX($C$48:$F$48)-MIN($C$48:$F$48)))</f>
        <v>1</v>
      </c>
      <c r="I66" s="37"/>
      <c r="J66" s="215">
        <f>IF(MAX($C$50:$F$50)=MIN($C$50:$F$50),1,(MAX($C$50:$F$50)-D50)/(MAX($C$50:$F$50)-MIN($C$50:$F$50)))</f>
        <v>1</v>
      </c>
      <c r="K66" s="215">
        <f>IF(MAX($C$51:$F$51)=MIN($C$51:$F$51),1,(D51-MIN($C$51:$F$51))/(MAX($C$51:$F$51)-MIN($C$51:$F$51)))</f>
        <v>1</v>
      </c>
      <c r="L66" s="215">
        <f>IF(MAX($C$53:$F$53)=MIN($C$53:$F$53),1,(MAX($C$53:$F$53)-D53)/(MAX($C$53:$F$53)-MIN($C$53:$F$53)))</f>
        <v>0</v>
      </c>
    </row>
    <row r="67" ht="16.5" customHeight="1">
      <c r="B67" s="55" t="s">
        <v>874</v>
      </c>
      <c r="C67" s="215">
        <f>IF(MAX($C$41:$F$41)=MIN($C$41:$F$41),1,(E41-MIN($C$41:$F$41))/(MAX($C$41:$F$41)-MIN($C$41:$F$41)))</f>
        <v>1</v>
      </c>
      <c r="D67" s="215">
        <f>IF(MAX($C$42:$F$42)=MIN($C$42:$F$42),1,(E42-MIN($C$42:$F$42))/(MAX($C$42:$F$42)-MIN($C$42:$F$42)))</f>
        <v>1</v>
      </c>
      <c r="E67" s="215">
        <f>IF(MAX($C$44:$F$44)=MIN($C$44:$F$44),1,(E44-MIN($C$44:$F$44))/(MAX($C$44:$F$44)-MIN($C$44:$F$44)))</f>
        <v>1</v>
      </c>
      <c r="F67" s="215">
        <f>IF(MAX($C$45:$F$45)=MIN($C$45:$F$45),1,(E45-MIN($C$45:$F$45))/(MAX($C$45:$F$45)-MIN($C$45:$F$45)))</f>
        <v>1</v>
      </c>
      <c r="G67" s="215">
        <f>IF(MAX($C$47:$F$47)=MIN($C$47:$F$47),1,(E47-MIN($C$47:$F$47))/(MAX($C$47:$F$47)-MIN($C$47:$F$47)))</f>
        <v>0.1941980177</v>
      </c>
      <c r="H67" s="215">
        <f>IF(MAX($C$48:$F$48)=MIN($C$48:$F$48),1,(E48-MIN($C$48:$F$48))/(MAX($C$48:$F$48)-MIN($C$48:$F$48)))</f>
        <v>1</v>
      </c>
      <c r="I67" s="37"/>
      <c r="J67" s="215">
        <f>IF(MAX($C$50:$F$50)=MIN($C$50:$F$50),1,(MAX($C$50:$F$50)-E50)/(MAX($C$50:$F$50)-MIN($C$50:$F$50)))</f>
        <v>0</v>
      </c>
      <c r="K67" s="215">
        <f>IF(MAX($C$51:$F$51)=MIN($C$51:$F$51),1,(E51-MIN($C$51:$F$51))/(MAX($C$51:$F$51)-MIN($C$51:$F$51)))</f>
        <v>0</v>
      </c>
      <c r="L67" s="215">
        <f>IF(MAX($C$53:$F$53)=MIN($C$53:$F$53),1,(MAX($C$53:$F$53)-E53)/(MAX($C$53:$F$53)-MIN($C$53:$F$53)))</f>
        <v>1</v>
      </c>
    </row>
    <row r="68" ht="16.5" customHeight="1">
      <c r="B68" s="73" t="s">
        <v>875</v>
      </c>
      <c r="C68" s="215">
        <f>IF(MAX($C$41:$F$41)=MIN($C$41:$F$41),1,(F41-MIN($C$41:$F$41))/(MAX($C$41:$F$41)-MIN($C$41:$F$41)))</f>
        <v>1</v>
      </c>
      <c r="D68" s="215">
        <f>IF(MAX($C$42:$F$42)=MIN($C$42:$F$42),1,(F42-MIN($C$42:$F$42))/(MAX($C$42:$F$42)-MIN($C$42:$F$42)))</f>
        <v>1</v>
      </c>
      <c r="E68" s="215">
        <f>IF(MAX($C$44:$F$44)=MIN($C$44:$F$44),1,(F44-MIN($C$44:$F$44))/(MAX($C$44:$F$44)-MIN($C$44:$F$44)))</f>
        <v>0.9876365872</v>
      </c>
      <c r="F68" s="215">
        <f>IF(MAX($C$45:$F$45)=MIN($C$45:$F$45),1,(F45-MIN($C$45:$F$45))/(MAX($C$45:$F$45)-MIN($C$45:$F$45)))</f>
        <v>0.9277695915</v>
      </c>
      <c r="G68" s="215">
        <f>IF(MAX($C$47:$F$47)=MIN($C$47:$F$47),1,(F47-MIN($C$47:$F$47))/(MAX($C$47:$F$47)-MIN($C$47:$F$47)))</f>
        <v>0.09709900885</v>
      </c>
      <c r="H68" s="215">
        <f>IF(MAX($C$48:$F$48)=MIN($C$48:$F$48),1,(F48-MIN($C$48:$F$48))/(MAX($C$48:$F$48)-MIN($C$48:$F$48)))</f>
        <v>1</v>
      </c>
      <c r="I68" s="37"/>
      <c r="J68" s="215">
        <f>IF(MAX($C$50:$F$50)=MIN($C$50:$F$50),1,(MAX($C$50:$F$50)-F50)/(MAX($C$50:$F$50)-MIN($C$50:$F$50)))</f>
        <v>0.5</v>
      </c>
      <c r="K68" s="215">
        <f>IF(MAX($C$51:$F$51)=MIN($C$51:$F$51),1,(F51-MIN($C$51:$F$51))/(MAX($C$51:$F$51)-MIN($C$51:$F$51)))</f>
        <v>0.5</v>
      </c>
      <c r="L68" s="215">
        <f>IF(MAX($C$53:$F$53)=MIN($C$53:$F$53),1,(MAX($C$53:$F$53)-F53)/(MAX($C$53:$F$53)-MIN($C$53:$F$53)))</f>
        <v>0.5</v>
      </c>
    </row>
    <row r="69" ht="14.25" customHeight="1"/>
    <row r="70" ht="33.75" customHeight="1">
      <c r="B70" s="104" t="s">
        <v>1059</v>
      </c>
      <c r="C70" s="39"/>
      <c r="D70" s="39"/>
      <c r="E70" s="39"/>
      <c r="F70" s="39"/>
      <c r="G70" s="39"/>
      <c r="H70" s="40"/>
      <c r="I70" s="37"/>
      <c r="J70" s="214" t="s">
        <v>1060</v>
      </c>
      <c r="K70" s="39"/>
      <c r="L70" s="39"/>
      <c r="M70" s="39"/>
      <c r="N70" s="39"/>
      <c r="O70" s="39"/>
      <c r="P70" s="40"/>
    </row>
    <row r="71" ht="31.5" customHeight="1">
      <c r="B71" s="124" t="s">
        <v>1062</v>
      </c>
      <c r="C71" s="51" t="s">
        <v>1031</v>
      </c>
      <c r="D71" s="51" t="s">
        <v>1032</v>
      </c>
      <c r="E71" s="51" t="s">
        <v>1033</v>
      </c>
      <c r="F71" s="51" t="s">
        <v>1034</v>
      </c>
      <c r="G71" s="51" t="s">
        <v>1035</v>
      </c>
      <c r="H71" s="51" t="s">
        <v>1036</v>
      </c>
      <c r="I71" s="37"/>
      <c r="J71" s="51" t="s">
        <v>1037</v>
      </c>
      <c r="K71" s="51" t="s">
        <v>1038</v>
      </c>
      <c r="L71" s="51" t="s">
        <v>1039</v>
      </c>
      <c r="M71" s="53"/>
      <c r="N71" s="53"/>
      <c r="O71" s="53"/>
      <c r="P71" s="53"/>
    </row>
    <row r="72" ht="16.5" customHeight="1">
      <c r="B72" s="55" t="s">
        <v>1031</v>
      </c>
      <c r="C72" s="215">
        <f>IF(OR($C$82=0,$C$82=0),1,CORREL($C$65:$C$68,$C$65:$C$68))</f>
        <v>1</v>
      </c>
      <c r="D72" s="215">
        <f>IF(OR($C$82=0,$D$82=0),1,CORREL($C$65:$C$68,$D$65:$D$68))</f>
        <v>1</v>
      </c>
      <c r="E72" s="215">
        <f>IF(OR($C$82=0,$E$82=0),1,CORREL($C$65:$C$68,$E$65:$E$68))</f>
        <v>0.9997911257</v>
      </c>
      <c r="F72" s="215">
        <f>IF(OR($C$82=0,$F$82=0),1,CORREL($C$65:$C$68,$F$65:$F$68))</f>
        <v>0.9920150443</v>
      </c>
      <c r="G72" s="215">
        <f>IF(OR($C$82=0,$G$82=0),1,CORREL($C$65:$C$68,$G$65:$G$68))</f>
        <v>-0.9849276136</v>
      </c>
      <c r="H72" s="215">
        <f>IF(OR($C$82=0,$H$82=0),1,CORREL($C$65:$C$68,$H$65:$H$68))</f>
        <v>1</v>
      </c>
      <c r="I72" s="37"/>
      <c r="J72" s="215">
        <f>IF(OR($C$82=0,$J$82=0),1,CORREL($C$65:$C$68,$J$65:$J$68))</f>
        <v>-0.5222329679</v>
      </c>
      <c r="K72" s="215">
        <f>IF(OR($C$82=0,$K$82=0),1,CORREL($C$65:$C$68,$K$65:$K$68))</f>
        <v>-0.4350636647</v>
      </c>
      <c r="L72" s="215">
        <f>IF(OR($C$82=0,$L$82=0),1,CORREL($C$65:$C$68,$L$65:$L$68))</f>
        <v>-0.5222329679</v>
      </c>
    </row>
    <row r="73" ht="16.5" customHeight="1">
      <c r="B73" s="55" t="s">
        <v>1032</v>
      </c>
      <c r="C73" s="215">
        <f>IF(OR($D$82=0,$C$82=0),1,CORREL($D$65:$D$68,$C$65:$C$68))</f>
        <v>1</v>
      </c>
      <c r="D73" s="215">
        <f>IF(OR($D$82=0,$D$82=0),1,CORREL($D$65:$D$68,$D$65:$D$68))</f>
        <v>1</v>
      </c>
      <c r="E73" s="215">
        <f>IF(OR($D$82=0,$E$82=0),1,CORREL($D$65:$D$68,$E$65:$E$68))</f>
        <v>0.9997911257</v>
      </c>
      <c r="F73" s="215">
        <f>IF(OR($D$82=0,$F$82=0),1,CORREL($D$65:$D$68,$F$65:$F$68))</f>
        <v>0.9920150443</v>
      </c>
      <c r="G73" s="215">
        <f>IF(OR($D$82=0,$G$82=0),1,CORREL($D$65:$D$68,$G$65:$G$68))</f>
        <v>-0.9849276136</v>
      </c>
      <c r="H73" s="215">
        <f>IF(OR($D$82=0,$H$82=0),1,CORREL($D$65:$D$68,$H$65:$H$68))</f>
        <v>1</v>
      </c>
      <c r="I73" s="37"/>
      <c r="J73" s="215">
        <f>IF(OR($D$82=0,$J$82=0),1,CORREL($D$65:$D$68,$J$65:$J$68))</f>
        <v>-0.5222329679</v>
      </c>
      <c r="K73" s="215">
        <f>IF(OR($D$82=0,$K$82=0),1,CORREL($D$65:$D$68,$K$65:$K$68))</f>
        <v>-0.4350636647</v>
      </c>
      <c r="L73" s="215">
        <f>IF(OR($D$82=0,$L$82=0),1,CORREL($D$65:$D$68,$L$65:$L$68))</f>
        <v>-0.5222329679</v>
      </c>
    </row>
    <row r="74" ht="16.5" customHeight="1">
      <c r="B74" s="55" t="s">
        <v>1033</v>
      </c>
      <c r="C74" s="215">
        <f>IF(OR($E$82=0,$C$82=0),1,CORREL($E$65:$E$68,$C$65:$C$68))</f>
        <v>0.9997911257</v>
      </c>
      <c r="D74" s="215">
        <f>IF(OR($E$82=0,$D$82=0),1,CORREL($E$65:$E$68,$D$65:$D$68))</f>
        <v>0.9997911257</v>
      </c>
      <c r="E74" s="215">
        <f>IF(OR($E$82=0,$E$82=0),1,CORREL($E$65:$E$68,$E$65:$E$68))</f>
        <v>1</v>
      </c>
      <c r="F74" s="215">
        <f>IF(OR($E$82=0,$F$82=0),1,CORREL($E$65:$E$68,$F$65:$F$68))</f>
        <v>0.994385449</v>
      </c>
      <c r="G74" s="215">
        <f>IF(OR($E$82=0,$G$82=0),1,CORREL($E$65:$E$68,$G$65:$G$68))</f>
        <v>-0.9811868161</v>
      </c>
      <c r="H74" s="215">
        <f>IF(OR($E$82=0,$H$82=0),1,CORREL($E$65:$E$68,$H$65:$H$68))</f>
        <v>1</v>
      </c>
      <c r="I74" s="37"/>
      <c r="J74" s="215">
        <f>IF(OR($E$82=0,$J$82=0),1,CORREL($E$65:$E$68,$J$65:$J$68))</f>
        <v>-0.5395533293</v>
      </c>
      <c r="K74" s="215">
        <f>IF(OR($E$82=0,$K$82=0),1,CORREL($E$65:$E$68,$K$65:$K$68))</f>
        <v>-0.4533750095</v>
      </c>
      <c r="L74" s="215">
        <f>IF(OR($E$82=0,$L$82=0),1,CORREL($E$65:$E$68,$L$65:$L$68))</f>
        <v>-0.5046944443</v>
      </c>
    </row>
    <row r="75" ht="16.5" customHeight="1">
      <c r="B75" s="55" t="s">
        <v>1034</v>
      </c>
      <c r="C75" s="215">
        <f>IF(OR($F$82=0,$C$82=0),1,CORREL($F$65:$F$68,$C$65:$C$68))</f>
        <v>0.9920150443</v>
      </c>
      <c r="D75" s="215">
        <f>IF(OR($F$82=0,$D$82=0),1,CORREL($F$65:$F$68,$D$65:$D$68))</f>
        <v>0.9920150443</v>
      </c>
      <c r="E75" s="215">
        <f>IF(OR($F$82=0,$E$82=0),1,CORREL($F$65:$F$68,$E$65:$E$68))</f>
        <v>0.994385449</v>
      </c>
      <c r="F75" s="215">
        <f>IF(OR($F$82=0,$F$82=0),1,CORREL($F$65:$F$68,$F$65:$F$68))</f>
        <v>1</v>
      </c>
      <c r="G75" s="215">
        <f>IF(OR($F$82=0,$G$82=0),1,CORREL($F$65:$F$68,$G$65:$G$68))</f>
        <v>-0.9552484778</v>
      </c>
      <c r="H75" s="215">
        <f>IF(OR($F$82=0,$H$82=0),1,CORREL($F$65:$F$68,$H$65:$H$68))</f>
        <v>1</v>
      </c>
      <c r="I75" s="37"/>
      <c r="J75" s="215">
        <f>IF(OR($F$82=0,$J$82=0),1,CORREL($F$65:$F$68,$J$65:$J$68))</f>
        <v>-0.6256181113</v>
      </c>
      <c r="K75" s="215">
        <f>IF(OR($F$82=0,$K$82=0),1,CORREL($F$65:$F$68,$K$65:$K$68))</f>
        <v>-0.5451477437</v>
      </c>
      <c r="L75" s="215">
        <f>IF(OR($F$82=0,$L$82=0),1,CORREL($F$65:$F$68,$L$65:$L$68))</f>
        <v>-0.4105078103</v>
      </c>
    </row>
    <row r="76" ht="16.5" customHeight="1">
      <c r="B76" s="55" t="s">
        <v>1035</v>
      </c>
      <c r="C76" s="215">
        <f>IF(OR($G$82=0,$C$82=0),1,CORREL($G$65:$G$68,$C$65:$C$68))</f>
        <v>-0.9849276136</v>
      </c>
      <c r="D76" s="215">
        <f>IF(OR($G$82=0,$D$82=0),1,CORREL($G$65:$G$68,$D$65:$D$68))</f>
        <v>-0.9849276136</v>
      </c>
      <c r="E76" s="215">
        <f>IF(OR($G$82=0,$E$82=0),1,CORREL($G$65:$G$68,$E$65:$E$68))</f>
        <v>-0.9811868161</v>
      </c>
      <c r="F76" s="215">
        <f>IF(OR($G$82=0,$F$82=0),1,CORREL($G$65:$G$68,$F$65:$F$68))</f>
        <v>-0.9552484778</v>
      </c>
      <c r="G76" s="215">
        <f>IF(OR($G$82=0,$G$82=0),1,CORREL($G$65:$G$68,$G$65:$G$68))</f>
        <v>1</v>
      </c>
      <c r="H76" s="215">
        <f>IF(OR($G$82=0,$H$82=0),1,CORREL($G$65:$G$68,$H$65:$H$68))</f>
        <v>1</v>
      </c>
      <c r="I76" s="37"/>
      <c r="J76" s="215">
        <f>IF(OR($G$82=0,$J$82=0),1,CORREL($G$65:$G$68,$J$65:$J$68))</f>
        <v>0.3668548857</v>
      </c>
      <c r="K76" s="215">
        <f>IF(OR($G$82=0,$K$82=0),1,CORREL($G$65:$G$68,$K$65:$K$68))</f>
        <v>0.2727667496</v>
      </c>
      <c r="L76" s="215">
        <f>IF(OR($G$82=0,$L$82=0),1,CORREL($G$65:$G$68,$L$65:$L$68))</f>
        <v>0.6618684559</v>
      </c>
    </row>
    <row r="77" ht="16.5" customHeight="1">
      <c r="B77" s="55" t="s">
        <v>1036</v>
      </c>
      <c r="C77" s="215">
        <f>IF(OR($H$82=0,$C$82=0),1,CORREL($H$65:$H$68,$C$65:$C$68))</f>
        <v>1</v>
      </c>
      <c r="D77" s="215">
        <f>IF(OR($H$82=0,$D$82=0),1,CORREL($H$65:$H$68,$D$65:$D$68))</f>
        <v>1</v>
      </c>
      <c r="E77" s="215">
        <f>IF(OR($H$82=0,$E$82=0),1,CORREL($H$65:$H$68,$E$65:$E$68))</f>
        <v>1</v>
      </c>
      <c r="F77" s="215">
        <f>IF(OR($H$82=0,$F$82=0),1,CORREL($H$65:$H$68,$F$65:$F$68))</f>
        <v>1</v>
      </c>
      <c r="G77" s="215">
        <f>IF(OR($H$82=0,$G$82=0),1,CORREL($H$65:$H$68,$G$65:$G$68))</f>
        <v>1</v>
      </c>
      <c r="H77" s="215">
        <f>IF(OR($H$82=0,$H$82=0),1,CORREL($H$65:$H$68,$H$65:$H$68))</f>
        <v>1</v>
      </c>
      <c r="I77" s="37"/>
      <c r="J77" s="215">
        <f>IF(OR($H$82=0,$J$82=0),1,CORREL($H$65:$H$68,$J$65:$J$68))</f>
        <v>1</v>
      </c>
      <c r="K77" s="215">
        <f>IF(OR($H$82=0,$K$82=0),1,CORREL($H$65:$H$68,$K$65:$K$68))</f>
        <v>1</v>
      </c>
      <c r="L77" s="215">
        <f>IF(OR($H$82=0,$L$82=0),1,CORREL($H$65:$H$68,$L$65:$L$68))</f>
        <v>1</v>
      </c>
    </row>
    <row r="78" ht="16.5" customHeight="1">
      <c r="B78" s="55" t="s">
        <v>1037</v>
      </c>
      <c r="C78" s="215">
        <f>IF(OR($J$82=0,$C$82=0),1,CORREL($J$65:$J$68,$C$65:$C$68))</f>
        <v>-0.5222329679</v>
      </c>
      <c r="D78" s="215">
        <f>IF(OR($J$82=0,$D$82=0),1,CORREL($J$65:$J$68,$D$65:$D$68))</f>
        <v>-0.5222329679</v>
      </c>
      <c r="E78" s="215">
        <f>IF(OR($J$82=0,$E$82=0),1,CORREL($J$65:$J$68,$E$65:$E$68))</f>
        <v>-0.5395533293</v>
      </c>
      <c r="F78" s="215">
        <f>IF(OR($J$82=0,$F$82=0),1,CORREL($J$65:$J$68,$F$65:$F$68))</f>
        <v>-0.6256181113</v>
      </c>
      <c r="G78" s="215">
        <f>IF(OR($J$82=0,$G$82=0),1,CORREL($J$65:$J$68,$G$65:$G$68))</f>
        <v>0.3668548857</v>
      </c>
      <c r="H78" s="215">
        <f>IF(OR($J$82=0,$H$82=0),1,CORREL($J$65:$J$68,$H$65:$H$68))</f>
        <v>1</v>
      </c>
      <c r="I78" s="37"/>
      <c r="J78" s="215">
        <f>IF(OR($J$82=0,$J$82=0),1,CORREL($J$65:$J$68,$J$65:$J$68))</f>
        <v>1</v>
      </c>
      <c r="K78" s="215">
        <f>IF(OR($J$82=0,$K$82=0),1,CORREL($J$65:$J$68,$K$65:$K$68))</f>
        <v>0.9950680273</v>
      </c>
      <c r="L78" s="215">
        <f>IF(OR($J$82=0,$L$82=0),1,CORREL($J$65:$J$68,$L$65:$L$68))</f>
        <v>-0.4545454545</v>
      </c>
    </row>
    <row r="79" ht="16.5" customHeight="1">
      <c r="B79" s="55" t="s">
        <v>1038</v>
      </c>
      <c r="C79" s="215">
        <f>IF(OR($K$82=0,$C$82=0),1,CORREL($K$65:$K$68,$C$65:$C$68))</f>
        <v>-0.4350636647</v>
      </c>
      <c r="D79" s="215">
        <f>IF(OR($K$82=0,$D$82=0),1,CORREL($K$65:$K$68,$D$65:$D$68))</f>
        <v>-0.4350636647</v>
      </c>
      <c r="E79" s="215">
        <f>IF(OR($K$82=0,$E$82=0),1,CORREL($K$65:$K$68,$E$65:$E$68))</f>
        <v>-0.4533750095</v>
      </c>
      <c r="F79" s="215">
        <f>IF(OR($K$82=0,$F$82=0),1,CORREL($K$65:$K$68,$F$65:$F$68))</f>
        <v>-0.5451477437</v>
      </c>
      <c r="G79" s="215">
        <f>IF(OR($K$82=0,$G$82=0),1,CORREL($K$65:$K$68,$G$65:$G$68))</f>
        <v>0.2727667496</v>
      </c>
      <c r="H79" s="215">
        <f>IF(OR($K$82=0,$H$82=0),1,CORREL($K$65:$K$68,$H$65:$H$68))</f>
        <v>1</v>
      </c>
      <c r="I79" s="37"/>
      <c r="J79" s="215">
        <f>IF(OR($K$82=0,$J$82=0),1,CORREL($K$65:$K$68,$J$65:$J$68))</f>
        <v>0.9950680273</v>
      </c>
      <c r="K79" s="215">
        <f>IF(OR($K$82=0,$K$82=0),1,CORREL($K$65:$K$68,$K$65:$K$68))</f>
        <v>1</v>
      </c>
      <c r="L79" s="215">
        <f>IF(OR($K$82=0,$L$82=0),1,CORREL($K$65:$K$68,$L$65:$L$68))</f>
        <v>-0.5406588497</v>
      </c>
    </row>
    <row r="80" ht="16.5" customHeight="1">
      <c r="B80" s="55" t="s">
        <v>1039</v>
      </c>
      <c r="C80" s="215">
        <f>IF(OR($L$82=0,$C$82=0),1,CORREL($L$65:$L$68,$C$65:$C$68))</f>
        <v>-0.5222329679</v>
      </c>
      <c r="D80" s="215">
        <f>IF(OR($L$82=0,$D$82=0),1,CORREL($L$65:$L$68,$D$65:$D$68))</f>
        <v>-0.5222329679</v>
      </c>
      <c r="E80" s="215">
        <f>IF(OR($L$82=0,$E$82=0),1,CORREL($L$65:$L$68,$E$65:$E$68))</f>
        <v>-0.5046944443</v>
      </c>
      <c r="F80" s="215">
        <f>IF(OR($L$82=0,$F$82=0),1,CORREL($L$65:$L$68,$F$65:$F$68))</f>
        <v>-0.4105078103</v>
      </c>
      <c r="G80" s="215">
        <f>IF(OR($L$82=0,$G$82=0),1,CORREL($L$65:$L$68,$G$65:$G$68))</f>
        <v>0.6618684559</v>
      </c>
      <c r="H80" s="215">
        <f>IF(OR($L$82=0,$H$82=0),1,CORREL($L$65:$L$68,$H$65:$H$68))</f>
        <v>1</v>
      </c>
      <c r="I80" s="37"/>
      <c r="J80" s="251">
        <f>IF(OR($L$82=0,$J$82=0),1,CORREL($L$65:$L$68,$J$65:$J$68))</f>
        <v>-0.4545454545</v>
      </c>
      <c r="K80" s="251">
        <f>IF(OR($L$82=0,$K$82=0),1,CORREL($L$65:$L$68,$K$65:$K$68))</f>
        <v>-0.5406588497</v>
      </c>
      <c r="L80" s="251">
        <f>IF(OR($L$82=0,$L$82=0),1,CORREL($L$65:$L$68,$L$65:$L$68))</f>
        <v>1</v>
      </c>
      <c r="M80" s="53"/>
      <c r="N80" s="53"/>
      <c r="O80" s="53"/>
      <c r="P80" s="53"/>
    </row>
    <row r="81" ht="14.25" customHeight="1">
      <c r="B81" s="104" t="s">
        <v>1214</v>
      </c>
      <c r="C81" s="39"/>
      <c r="D81" s="39"/>
      <c r="E81" s="39"/>
      <c r="F81" s="39"/>
      <c r="G81" s="39"/>
      <c r="H81" s="40"/>
      <c r="I81" s="37"/>
      <c r="J81" s="104" t="s">
        <v>1220</v>
      </c>
      <c r="K81" s="39"/>
      <c r="L81" s="39"/>
      <c r="M81" s="39"/>
      <c r="N81" s="39"/>
      <c r="O81" s="39"/>
      <c r="P81" s="40"/>
    </row>
    <row r="82" ht="30.0" customHeight="1">
      <c r="B82" s="55" t="s">
        <v>1227</v>
      </c>
      <c r="C82" s="215">
        <f t="shared" ref="C82:H82" si="4">STDEV(C65:C68)</f>
        <v>0.5</v>
      </c>
      <c r="D82" s="215">
        <f t="shared" si="4"/>
        <v>0.5</v>
      </c>
      <c r="E82" s="215">
        <f t="shared" si="4"/>
        <v>0.4939214611</v>
      </c>
      <c r="F82" s="215">
        <f t="shared" si="4"/>
        <v>0.4676187104</v>
      </c>
      <c r="G82" s="215">
        <f t="shared" si="4"/>
        <v>0.4583590605</v>
      </c>
      <c r="H82" s="215">
        <f t="shared" si="4"/>
        <v>0</v>
      </c>
      <c r="I82" s="37"/>
      <c r="J82" s="215">
        <f t="shared" ref="J82:L82" si="5">STDEV(J65:J68)</f>
        <v>0.4787135539</v>
      </c>
      <c r="K82" s="215">
        <f t="shared" si="5"/>
        <v>0.4534078515</v>
      </c>
      <c r="L82" s="215">
        <f t="shared" si="5"/>
        <v>0.4787135539</v>
      </c>
      <c r="M82" s="58" t="s">
        <v>1240</v>
      </c>
      <c r="N82" s="39"/>
      <c r="O82" s="39"/>
      <c r="P82" s="40"/>
    </row>
    <row r="83" ht="18.0" customHeight="1">
      <c r="B83" s="55" t="s">
        <v>1241</v>
      </c>
      <c r="C83" s="215">
        <f>9-SUM(C72:H72,J72:L72)</f>
        <v>6.472651044</v>
      </c>
      <c r="D83" s="215">
        <f>9-SUM(C73:H73,J73:L73)</f>
        <v>6.472651044</v>
      </c>
      <c r="E83" s="215">
        <f>9-SUM(C74:H74,J74:L74)</f>
        <v>6.484841899</v>
      </c>
      <c r="F83" s="215">
        <f>9-SUM(C75:H75,J75:L75)</f>
        <v>6.558106605</v>
      </c>
      <c r="G83" s="215">
        <f>9-SUM(C76:H76,J76:L76)</f>
        <v>9.60480043</v>
      </c>
      <c r="H83" s="215">
        <f>9-SUM(C77:H77,J77:L77)</f>
        <v>0</v>
      </c>
      <c r="I83" s="37"/>
      <c r="J83" s="215">
        <f>9-SUM(C78:H78,J78:L78)</f>
        <v>8.302259918</v>
      </c>
      <c r="K83" s="215">
        <f>9-SUM(C79:H79,J79:L79)</f>
        <v>8.141474155</v>
      </c>
      <c r="L83" s="215">
        <f>9-SUM(C80:H80,J80:L80)</f>
        <v>9.293004039</v>
      </c>
      <c r="M83" s="53"/>
      <c r="N83" s="53"/>
      <c r="O83" s="53"/>
      <c r="P83" s="53"/>
    </row>
    <row r="84" ht="18.0" customHeight="1">
      <c r="B84" s="55" t="s">
        <v>1356</v>
      </c>
      <c r="C84" s="215">
        <f t="shared" ref="C84:H84" si="6">C82*C83</f>
        <v>3.236325522</v>
      </c>
      <c r="D84" s="215">
        <f t="shared" si="6"/>
        <v>3.236325522</v>
      </c>
      <c r="E84" s="215">
        <f t="shared" si="6"/>
        <v>3.203002586</v>
      </c>
      <c r="F84" s="215">
        <f t="shared" si="6"/>
        <v>3.066693354</v>
      </c>
      <c r="G84" s="215">
        <f t="shared" si="6"/>
        <v>4.402447301</v>
      </c>
      <c r="H84" s="215">
        <f t="shared" si="6"/>
        <v>0</v>
      </c>
      <c r="I84" s="37"/>
      <c r="J84" s="215">
        <f t="shared" ref="J84:L84" si="7">J82*J83</f>
        <v>3.974404351</v>
      </c>
      <c r="K84" s="215">
        <f t="shared" si="7"/>
        <v>3.691408305</v>
      </c>
      <c r="L84" s="215">
        <f t="shared" si="7"/>
        <v>4.44868699</v>
      </c>
      <c r="M84" s="53"/>
    </row>
    <row r="85" ht="18.0" customHeight="1">
      <c r="B85" s="78" t="s">
        <v>1376</v>
      </c>
      <c r="C85" s="70">
        <f>C84/(SUM(C84:H84,J84:L84))</f>
        <v>0.1106084627</v>
      </c>
      <c r="D85" s="70">
        <f>D84/(SUM(C84:H84,J84:L84))</f>
        <v>0.1106084627</v>
      </c>
      <c r="E85" s="70">
        <f>E84/(SUM(C84:H84,J84:L84))</f>
        <v>0.1094695789</v>
      </c>
      <c r="F85" s="70">
        <f>F84/(SUM(C84:H84,J84:L84))</f>
        <v>0.1048109145</v>
      </c>
      <c r="G85" s="70">
        <f>G84/(SUM(C84:H84,J84:L84))</f>
        <v>0.1504632105</v>
      </c>
      <c r="H85" s="70">
        <f>H84/(SUM(C84:H84,J84:L84))</f>
        <v>0</v>
      </c>
      <c r="I85" s="37"/>
      <c r="J85" s="70">
        <f>J84/(SUM(C84:H84,J84:L84))</f>
        <v>0.1358339118</v>
      </c>
      <c r="K85" s="70">
        <f>K84/(SUM(C84:H84,J84:L84))</f>
        <v>0.1261619065</v>
      </c>
      <c r="L85" s="70">
        <f>L84/(SUM(C84:H84,J84:L84))</f>
        <v>0.1520435524</v>
      </c>
      <c r="M85" s="57" t="s">
        <v>1412</v>
      </c>
      <c r="N85" s="70">
        <f>SUM(C85:H85,J85:L85)</f>
        <v>1</v>
      </c>
    </row>
    <row r="86" ht="14.25" customHeight="1"/>
    <row r="87" ht="14.25" customHeight="1">
      <c r="B87" s="104" t="s">
        <v>1414</v>
      </c>
      <c r="C87" s="39"/>
      <c r="D87" s="39"/>
      <c r="E87" s="39"/>
      <c r="F87" s="39"/>
      <c r="G87" s="39"/>
      <c r="H87" s="40"/>
      <c r="I87" s="37"/>
      <c r="J87" s="255" t="s">
        <v>1415</v>
      </c>
      <c r="K87" s="256"/>
      <c r="L87" s="256"/>
      <c r="M87" s="256"/>
      <c r="N87" s="256"/>
      <c r="O87" s="256"/>
      <c r="P87" s="257"/>
    </row>
    <row r="88" ht="31.5" customHeight="1">
      <c r="B88" s="124" t="s">
        <v>684</v>
      </c>
      <c r="C88" s="51" t="s">
        <v>1031</v>
      </c>
      <c r="D88" s="51" t="s">
        <v>1032</v>
      </c>
      <c r="E88" s="51" t="s">
        <v>1033</v>
      </c>
      <c r="F88" s="51" t="s">
        <v>1034</v>
      </c>
      <c r="G88" s="51" t="s">
        <v>1035</v>
      </c>
      <c r="H88" s="51" t="s">
        <v>1036</v>
      </c>
      <c r="I88" s="37"/>
      <c r="J88" s="51" t="s">
        <v>1037</v>
      </c>
      <c r="K88" s="51" t="s">
        <v>1038</v>
      </c>
      <c r="L88" s="51" t="s">
        <v>1039</v>
      </c>
      <c r="M88" s="51" t="s">
        <v>1417</v>
      </c>
      <c r="N88" s="51" t="s">
        <v>1418</v>
      </c>
      <c r="O88" s="51" t="s">
        <v>1419</v>
      </c>
      <c r="P88" s="51" t="s">
        <v>1420</v>
      </c>
    </row>
    <row r="89" ht="16.5" customHeight="1">
      <c r="B89" s="55" t="s">
        <v>872</v>
      </c>
      <c r="C89" s="215">
        <f t="shared" ref="C89:H89" si="8">C65*C$85</f>
        <v>0</v>
      </c>
      <c r="D89" s="215">
        <f t="shared" si="8"/>
        <v>0</v>
      </c>
      <c r="E89" s="215">
        <f t="shared" si="8"/>
        <v>0</v>
      </c>
      <c r="F89" s="215">
        <f t="shared" si="8"/>
        <v>0</v>
      </c>
      <c r="G89" s="215">
        <f t="shared" si="8"/>
        <v>0.1504632105</v>
      </c>
      <c r="H89" s="215">
        <f t="shared" si="8"/>
        <v>0</v>
      </c>
      <c r="I89" s="37"/>
      <c r="J89" s="215">
        <f t="shared" ref="J89:L89" si="9">J65*J$85</f>
        <v>0.1358339118</v>
      </c>
      <c r="K89" s="215">
        <f t="shared" si="9"/>
        <v>0.112854672</v>
      </c>
      <c r="L89" s="215">
        <f t="shared" si="9"/>
        <v>0.1520435524</v>
      </c>
      <c r="M89" s="215">
        <f t="shared" ref="M89:M92" si="12">SQRT(SUMXMY2(C89:H89,C$93:H$93)+SUMXMY2(J89:L89,J$93:L$93))</f>
        <v>0.2182073854</v>
      </c>
      <c r="N89" s="215">
        <f t="shared" ref="N89:N92" si="13">SQRT(SUMXMY2(C89:H89,C$94:H$94)+SUMXMY2(J89:L89,J$94:L$94))</f>
        <v>0.2773868204</v>
      </c>
      <c r="O89" s="259">
        <f t="shared" ref="O89:O92" si="14">N89/(M89+N89)</f>
        <v>0.5597055356</v>
      </c>
      <c r="P89" s="80">
        <f>IF(C$60="Yes",COUNTIF($C$105:$F$105,"&gt;"&amp;C105)+1,"Not eligible")</f>
        <v>3</v>
      </c>
    </row>
    <row r="90" ht="16.5" customHeight="1">
      <c r="B90" s="55" t="s">
        <v>873</v>
      </c>
      <c r="C90" s="215">
        <f t="shared" ref="C90:H90" si="10">C66*C$85</f>
        <v>0.1106084627</v>
      </c>
      <c r="D90" s="215">
        <f t="shared" si="10"/>
        <v>0.1106084627</v>
      </c>
      <c r="E90" s="215">
        <f t="shared" si="10"/>
        <v>0.1067627437</v>
      </c>
      <c r="F90" s="215">
        <f t="shared" si="10"/>
        <v>0.08966984414</v>
      </c>
      <c r="G90" s="215">
        <f t="shared" si="10"/>
        <v>0</v>
      </c>
      <c r="H90" s="215">
        <f t="shared" si="10"/>
        <v>0</v>
      </c>
      <c r="I90" s="37"/>
      <c r="J90" s="215">
        <f t="shared" ref="J90:L90" si="11">J66*J$85</f>
        <v>0.1358339118</v>
      </c>
      <c r="K90" s="215">
        <f t="shared" si="11"/>
        <v>0.1261619065</v>
      </c>
      <c r="L90" s="215">
        <f t="shared" si="11"/>
        <v>0</v>
      </c>
      <c r="M90" s="215">
        <f t="shared" si="12"/>
        <v>0.2144597829</v>
      </c>
      <c r="N90" s="215">
        <f t="shared" si="13"/>
        <v>0.2797768873</v>
      </c>
      <c r="O90" s="259">
        <f t="shared" si="14"/>
        <v>0.5660787719</v>
      </c>
      <c r="P90" s="80">
        <f>IF(D$60="Yes",COUNTIF($C$105:$F$105,"&gt;"&amp;D105)+1,"Not eligible")</f>
        <v>2</v>
      </c>
    </row>
    <row r="91" ht="16.5" customHeight="1">
      <c r="B91" s="55" t="s">
        <v>874</v>
      </c>
      <c r="C91" s="215">
        <f t="shared" ref="C91:H91" si="15">C67*C$85</f>
        <v>0.1106084627</v>
      </c>
      <c r="D91" s="215">
        <f t="shared" si="15"/>
        <v>0.1106084627</v>
      </c>
      <c r="E91" s="215">
        <f t="shared" si="15"/>
        <v>0.1094695789</v>
      </c>
      <c r="F91" s="215">
        <f t="shared" si="15"/>
        <v>0.1048109145</v>
      </c>
      <c r="G91" s="215">
        <f t="shared" si="15"/>
        <v>0.02921965721</v>
      </c>
      <c r="H91" s="215">
        <f t="shared" si="15"/>
        <v>0</v>
      </c>
      <c r="I91" s="37"/>
      <c r="J91" s="215">
        <f t="shared" ref="J91:L91" si="16">J67*J$85</f>
        <v>0</v>
      </c>
      <c r="K91" s="215">
        <f t="shared" si="16"/>
        <v>0</v>
      </c>
      <c r="L91" s="215">
        <f t="shared" si="16"/>
        <v>0.1520435524</v>
      </c>
      <c r="M91" s="215">
        <f t="shared" si="12"/>
        <v>0.2215122512</v>
      </c>
      <c r="N91" s="215">
        <f t="shared" si="13"/>
        <v>0.2672235221</v>
      </c>
      <c r="O91" s="259">
        <f t="shared" si="14"/>
        <v>0.5467648097</v>
      </c>
      <c r="P91" s="80" t="str">
        <f>IF(E$60="Yes",COUNTIF($C$105:$F$105,"&gt;"&amp;E105)+1,"Not eligible")</f>
        <v>Not eligible</v>
      </c>
    </row>
    <row r="92" ht="16.5" customHeight="1">
      <c r="B92" s="73" t="s">
        <v>875</v>
      </c>
      <c r="C92" s="215">
        <f t="shared" ref="C92:H92" si="17">C68*C$85</f>
        <v>0.1106084627</v>
      </c>
      <c r="D92" s="215">
        <f t="shared" si="17"/>
        <v>0.1106084627</v>
      </c>
      <c r="E92" s="215">
        <f t="shared" si="17"/>
        <v>0.1081161613</v>
      </c>
      <c r="F92" s="215">
        <f t="shared" si="17"/>
        <v>0.09724037931</v>
      </c>
      <c r="G92" s="215">
        <f t="shared" si="17"/>
        <v>0.01460982861</v>
      </c>
      <c r="H92" s="215">
        <f t="shared" si="17"/>
        <v>0</v>
      </c>
      <c r="I92" s="37"/>
      <c r="J92" s="215">
        <f t="shared" ref="J92:L92" si="18">J68*J$85</f>
        <v>0.06791695589</v>
      </c>
      <c r="K92" s="215">
        <f t="shared" si="18"/>
        <v>0.06308095325</v>
      </c>
      <c r="L92" s="215">
        <f t="shared" si="18"/>
        <v>0.0760217762</v>
      </c>
      <c r="M92" s="215">
        <f t="shared" si="12"/>
        <v>0.1813463982</v>
      </c>
      <c r="N92" s="215">
        <f t="shared" si="13"/>
        <v>0.2453526785</v>
      </c>
      <c r="O92" s="259">
        <f t="shared" si="14"/>
        <v>0.5750016626</v>
      </c>
      <c r="P92" s="80">
        <f>IF(F$60="Yes",COUNTIF($C$105:$F$105,"&gt;"&amp;F105)+1,"Not eligible")</f>
        <v>1</v>
      </c>
    </row>
    <row r="93" ht="16.5" customHeight="1">
      <c r="B93" s="78" t="s">
        <v>1452</v>
      </c>
      <c r="C93" s="215">
        <f t="shared" ref="C93:H93" si="19">MAX(C89:C92)</f>
        <v>0.1106084627</v>
      </c>
      <c r="D93" s="215">
        <f t="shared" si="19"/>
        <v>0.1106084627</v>
      </c>
      <c r="E93" s="215">
        <f t="shared" si="19"/>
        <v>0.1094695789</v>
      </c>
      <c r="F93" s="215">
        <f t="shared" si="19"/>
        <v>0.1048109145</v>
      </c>
      <c r="G93" s="215">
        <f t="shared" si="19"/>
        <v>0.1504632105</v>
      </c>
      <c r="H93" s="215">
        <f t="shared" si="19"/>
        <v>0</v>
      </c>
      <c r="I93" s="37"/>
      <c r="J93" s="215">
        <f t="shared" ref="J93:L93" si="20">MAX(J89:J92)</f>
        <v>0.1358339118</v>
      </c>
      <c r="K93" s="215">
        <f t="shared" si="20"/>
        <v>0.1261619065</v>
      </c>
      <c r="L93" s="215">
        <f t="shared" si="20"/>
        <v>0.1520435524</v>
      </c>
      <c r="M93" s="53"/>
      <c r="N93" s="53"/>
      <c r="O93" s="53"/>
      <c r="P93" s="53"/>
    </row>
    <row r="94" ht="16.5" customHeight="1">
      <c r="B94" s="78" t="s">
        <v>1453</v>
      </c>
      <c r="C94" s="215">
        <f t="shared" ref="C94:H94" si="21">MIN(C89:C92)</f>
        <v>0</v>
      </c>
      <c r="D94" s="215">
        <f t="shared" si="21"/>
        <v>0</v>
      </c>
      <c r="E94" s="215">
        <f t="shared" si="21"/>
        <v>0</v>
      </c>
      <c r="F94" s="215">
        <f t="shared" si="21"/>
        <v>0</v>
      </c>
      <c r="G94" s="215">
        <f t="shared" si="21"/>
        <v>0</v>
      </c>
      <c r="H94" s="215">
        <f t="shared" si="21"/>
        <v>0</v>
      </c>
      <c r="I94" s="37"/>
      <c r="J94" s="215">
        <f t="shared" ref="J94:L94" si="22">MIN(J89:J92)</f>
        <v>0</v>
      </c>
      <c r="K94" s="215">
        <f t="shared" si="22"/>
        <v>0</v>
      </c>
      <c r="L94" s="215">
        <f t="shared" si="22"/>
        <v>0</v>
      </c>
    </row>
    <row r="95" ht="14.25" customHeight="1"/>
    <row r="96" ht="14.25" customHeight="1">
      <c r="B96" s="104" t="s">
        <v>1454</v>
      </c>
      <c r="C96" s="39"/>
      <c r="D96" s="39"/>
      <c r="E96" s="39"/>
      <c r="F96" s="39"/>
      <c r="G96" s="39"/>
      <c r="H96" s="40"/>
      <c r="I96" s="37"/>
      <c r="J96" s="271"/>
      <c r="K96" s="4"/>
      <c r="L96" s="4"/>
      <c r="M96" s="4"/>
      <c r="N96" s="4"/>
      <c r="O96" s="4"/>
      <c r="P96" s="6"/>
    </row>
    <row r="97" ht="30.0" customHeight="1">
      <c r="B97" s="124" t="s">
        <v>1455</v>
      </c>
      <c r="C97" s="51" t="s">
        <v>872</v>
      </c>
      <c r="D97" s="51" t="s">
        <v>873</v>
      </c>
      <c r="E97" s="51" t="s">
        <v>874</v>
      </c>
      <c r="F97" s="51" t="s">
        <v>875</v>
      </c>
      <c r="G97" s="51" t="s">
        <v>1456</v>
      </c>
      <c r="H97" s="51" t="s">
        <v>1457</v>
      </c>
      <c r="I97" s="37"/>
      <c r="J97" s="52" t="s">
        <v>1458</v>
      </c>
      <c r="K97" s="39"/>
      <c r="L97" s="39"/>
      <c r="M97" s="39"/>
      <c r="N97" s="39"/>
      <c r="O97" s="39"/>
      <c r="P97" s="40"/>
    </row>
    <row r="98" ht="30.0" customHeight="1">
      <c r="B98" s="78" t="s">
        <v>1459</v>
      </c>
      <c r="C98" s="259">
        <f>O89</f>
        <v>0.5597055356</v>
      </c>
      <c r="D98" s="259">
        <f>O90</f>
        <v>0.5660787719</v>
      </c>
      <c r="E98" s="259">
        <f>O91</f>
        <v>0.5467648097</v>
      </c>
      <c r="F98" s="259">
        <f>O92</f>
        <v>0.5750016626</v>
      </c>
      <c r="G98" s="57" t="s">
        <v>1460</v>
      </c>
      <c r="H98" s="147" t="str">
        <f t="array" ref="H98">INDEX($C$39:$F$39,MATCH(MAX($C$105:$F$105),$C$105:$F$105,0))</f>
        <v>A+H</v>
      </c>
      <c r="I98" s="37"/>
      <c r="J98" s="146" t="s">
        <v>1461</v>
      </c>
      <c r="K98" s="39"/>
      <c r="L98" s="39"/>
      <c r="M98" s="39"/>
      <c r="N98" s="39"/>
      <c r="O98" s="39"/>
      <c r="P98" s="40"/>
    </row>
    <row r="99" ht="30.0" customHeight="1">
      <c r="B99" s="55" t="s">
        <v>1462</v>
      </c>
      <c r="C99" s="215">
        <f t="shared" ref="C99:F99" si="23">0.5*(C103-MIN($C$103:$F$103))/(MAX($C$103:$F$103)-MIN($C$103:$F$103))+0.5*(C104-MIN($C$104:$F$104))/(MAX($C$104:$F$104)-MIN($C$104:$F$104))</f>
        <v>0.5</v>
      </c>
      <c r="D99" s="215">
        <f t="shared" si="23"/>
        <v>0.5</v>
      </c>
      <c r="E99" s="215">
        <f t="shared" si="23"/>
        <v>0.5491800178</v>
      </c>
      <c r="F99" s="215">
        <f t="shared" si="23"/>
        <v>0.4270235467</v>
      </c>
      <c r="G99" s="57" t="s">
        <v>1466</v>
      </c>
      <c r="H99" s="147" t="str">
        <f t="array" ref="H99">INDEX($C$39:$F$39,MATCH(MIN($C$106:$F$106),$C$106:$F$106,0))</f>
        <v>A+H</v>
      </c>
      <c r="I99" s="37"/>
      <c r="J99" s="146" t="s">
        <v>1468</v>
      </c>
      <c r="K99" s="39"/>
      <c r="L99" s="39"/>
      <c r="M99" s="39"/>
      <c r="N99" s="39"/>
      <c r="O99" s="39"/>
      <c r="P99" s="40"/>
    </row>
    <row r="100" ht="30.0" customHeight="1">
      <c r="B100" s="55" t="s">
        <v>1469</v>
      </c>
      <c r="C100" s="215">
        <f>SUMPRODUCT($C$85:$H$85,C65:H65)+SUMPRODUCT($J$85:$L$85,J65:L65)</f>
        <v>0.5511953466</v>
      </c>
      <c r="D100" s="215">
        <f>SUMPRODUCT($C$85:$H$85,C66:H66)+SUMPRODUCT($J$85:$L$85,J66:L66)</f>
        <v>0.6796453316</v>
      </c>
      <c r="E100" s="215">
        <f>SUMPRODUCT($C$85:$H$85,C67:H67)+SUMPRODUCT($J$85:$L$85,J67:L67)</f>
        <v>0.6167606284</v>
      </c>
      <c r="F100" s="215">
        <f>SUMPRODUCT($C$85:$H$85,C68:H68)+SUMPRODUCT($J$85:$L$85,J68:L68)</f>
        <v>0.64820298</v>
      </c>
      <c r="G100" s="57" t="s">
        <v>1460</v>
      </c>
      <c r="H100" s="147" t="str">
        <f t="array" ref="H100">INDEX($C$39:$F$39,MATCH(MAX($C$107:$F$107),$C$107:$F$107,0))</f>
        <v>A+</v>
      </c>
      <c r="I100" s="37"/>
      <c r="J100" s="146" t="s">
        <v>1494</v>
      </c>
      <c r="K100" s="39"/>
      <c r="L100" s="39"/>
      <c r="M100" s="39"/>
      <c r="N100" s="39"/>
      <c r="O100" s="39"/>
      <c r="P100" s="40"/>
    </row>
    <row r="101" ht="30.0" customHeight="1">
      <c r="B101" s="78" t="s">
        <v>1496</v>
      </c>
      <c r="C101" s="147" t="str">
        <f>H98</f>
        <v>A+H</v>
      </c>
      <c r="D101" s="118"/>
      <c r="E101" s="118"/>
      <c r="F101" s="118"/>
      <c r="G101" s="118"/>
      <c r="H101" s="118"/>
      <c r="I101" s="37"/>
      <c r="J101" s="146" t="str">
        <f>"Methods agreeing with TOPSIS: "&amp;(COUNTIF(H98:H100,H98)-1)&amp;" of 2"</f>
        <v>Methods agreeing with TOPSIS: 1 of 2</v>
      </c>
      <c r="K101" s="39"/>
      <c r="L101" s="39"/>
      <c r="M101" s="39"/>
      <c r="N101" s="39"/>
      <c r="O101" s="39"/>
      <c r="P101" s="40"/>
    </row>
    <row r="102" ht="14.25" customHeight="1">
      <c r="B102" s="104" t="s">
        <v>1497</v>
      </c>
      <c r="C102" s="39"/>
      <c r="D102" s="39"/>
      <c r="E102" s="39"/>
      <c r="F102" s="39"/>
      <c r="G102" s="39"/>
      <c r="H102" s="40"/>
      <c r="I102" s="37"/>
      <c r="J102" s="271"/>
      <c r="K102" s="4"/>
      <c r="L102" s="4"/>
      <c r="M102" s="4"/>
      <c r="N102" s="4"/>
      <c r="O102" s="4"/>
      <c r="P102" s="6"/>
    </row>
    <row r="103" ht="16.5" customHeight="1">
      <c r="B103" s="55" t="s">
        <v>1498</v>
      </c>
      <c r="C103" s="215">
        <f>SUMPRODUCT($C$85:$H$85,1-C65:H65)+SUMPRODUCT($J$85:$L$85,1-J65:L65)</f>
        <v>0.4488046534</v>
      </c>
      <c r="D103" s="215">
        <f>SUMPRODUCT($C$85:$H$85,1-C66:H66)+SUMPRODUCT($J$85:$L$85,1-J66:L66)</f>
        <v>0.3203546684</v>
      </c>
      <c r="E103" s="215">
        <f>SUMPRODUCT($C$85:$H$85,1-C67:H67)+SUMPRODUCT($J$85:$L$85,1-J67:L67)</f>
        <v>0.3832393716</v>
      </c>
      <c r="F103" s="215">
        <f>SUMPRODUCT($C$85:$H$85,1-C68:H68)+SUMPRODUCT($J$85:$L$85,1-J68:L68)</f>
        <v>0.35179702</v>
      </c>
      <c r="G103" s="57"/>
      <c r="H103" s="118"/>
      <c r="I103" s="37"/>
    </row>
    <row r="104" ht="16.5" customHeight="1">
      <c r="B104" s="55" t="s">
        <v>1499</v>
      </c>
      <c r="C104" s="215">
        <f>MAX(C$85*(1-C65),D$85*(1-D65),E$85*(1-E65),F$85*(1-F65),G$85*(1-G65),H$85*(1-H65),J$85*(1-J65),K$85*(1-K65),L$85*(1-L65))</f>
        <v>0.1106084627</v>
      </c>
      <c r="D104" s="215">
        <f>MAX(C$85*(1-C66),D$85*(1-D66),E$85*(1-E66),F$85*(1-F66),G$85*(1-G66),H$85*(1-H66),J$85*(1-J66),K$85*(1-K66),L$85*(1-L66))</f>
        <v>0.1520435524</v>
      </c>
      <c r="E104" s="215">
        <f>MAX(C$85*(1-C67),D$85*(1-D67),E$85*(1-E67),F$85*(1-F67),G$85*(1-G67),H$85*(1-H67),J$85*(1-J67),K$85*(1-K67),L$85*(1-L67))</f>
        <v>0.1358339118</v>
      </c>
      <c r="F104" s="215">
        <f>MAX(C$85*(1-C68),D$85*(1-D68),E$85*(1-E68),F$85*(1-F68),G$85*(1-G68),H$85*(1-H68),J$85*(1-J68),K$85*(1-K68),L$85*(1-L68))</f>
        <v>0.1358533819</v>
      </c>
      <c r="G104" s="57"/>
      <c r="H104" s="118"/>
      <c r="I104" s="37"/>
    </row>
    <row r="105" ht="16.5" customHeight="1">
      <c r="B105" s="55" t="s">
        <v>1501</v>
      </c>
      <c r="C105" s="215">
        <f t="shared" ref="C105:F105" si="24">IF(C$60="Yes",C98,-1)</f>
        <v>0.5597055356</v>
      </c>
      <c r="D105" s="215">
        <f t="shared" si="24"/>
        <v>0.5660787719</v>
      </c>
      <c r="E105" s="215">
        <f t="shared" si="24"/>
        <v>-1</v>
      </c>
      <c r="F105" s="215">
        <f t="shared" si="24"/>
        <v>0.5750016626</v>
      </c>
      <c r="G105" s="57"/>
      <c r="H105" s="118"/>
      <c r="I105" s="37"/>
    </row>
    <row r="106" ht="16.5" customHeight="1">
      <c r="B106" s="55" t="s">
        <v>1502</v>
      </c>
      <c r="C106" s="215">
        <f t="shared" ref="C106:F106" si="25">IF(C$60="Yes",C99,9)</f>
        <v>0.5</v>
      </c>
      <c r="D106" s="215">
        <f t="shared" si="25"/>
        <v>0.5</v>
      </c>
      <c r="E106" s="215">
        <f t="shared" si="25"/>
        <v>9</v>
      </c>
      <c r="F106" s="215">
        <f t="shared" si="25"/>
        <v>0.4270235467</v>
      </c>
      <c r="G106" s="57"/>
      <c r="H106" s="118"/>
      <c r="I106" s="37"/>
    </row>
    <row r="107" ht="16.5" customHeight="1">
      <c r="B107" s="55" t="s">
        <v>1503</v>
      </c>
      <c r="C107" s="215">
        <f t="shared" ref="C107:F107" si="26">IF(C$60="Yes",C100,-1)</f>
        <v>0.5511953466</v>
      </c>
      <c r="D107" s="215">
        <f t="shared" si="26"/>
        <v>0.6796453316</v>
      </c>
      <c r="E107" s="215">
        <f t="shared" si="26"/>
        <v>-1</v>
      </c>
      <c r="F107" s="215">
        <f t="shared" si="26"/>
        <v>0.64820298</v>
      </c>
      <c r="G107" s="57"/>
      <c r="H107" s="118"/>
      <c r="I107" s="37"/>
    </row>
    <row r="108" ht="14.25" customHeight="1"/>
    <row r="109" ht="21.75" customHeight="1">
      <c r="B109" s="103" t="s">
        <v>1504</v>
      </c>
      <c r="C109" s="4"/>
      <c r="D109" s="4"/>
      <c r="E109" s="4"/>
      <c r="F109" s="4"/>
      <c r="G109" s="4"/>
      <c r="H109" s="4"/>
      <c r="I109" s="4"/>
      <c r="J109" s="4"/>
      <c r="K109" s="4"/>
      <c r="L109" s="4"/>
      <c r="M109" s="4"/>
      <c r="N109" s="4"/>
      <c r="O109" s="4"/>
      <c r="P109" s="6"/>
    </row>
    <row r="110" ht="21.75" customHeight="1">
      <c r="B110" s="51" t="s">
        <v>1508</v>
      </c>
      <c r="C110" s="51" t="s">
        <v>164</v>
      </c>
      <c r="D110" s="51" t="s">
        <v>165</v>
      </c>
      <c r="E110" s="51" t="s">
        <v>166</v>
      </c>
      <c r="F110" s="51" t="s">
        <v>167</v>
      </c>
      <c r="G110" s="51" t="s">
        <v>168</v>
      </c>
      <c r="H110" s="51" t="s">
        <v>169</v>
      </c>
    </row>
    <row r="111" ht="18.0" customHeight="1">
      <c r="B111" s="55" t="s">
        <v>1509</v>
      </c>
      <c r="C111" s="173">
        <v>2026.0</v>
      </c>
      <c r="D111" s="173">
        <v>2027.0</v>
      </c>
      <c r="E111" s="173">
        <v>2028.0</v>
      </c>
      <c r="F111" s="173">
        <v>2029.0</v>
      </c>
      <c r="G111" s="173">
        <v>2030.0</v>
      </c>
      <c r="H111" s="173">
        <v>2031.0</v>
      </c>
    </row>
    <row r="112" ht="18.0" customHeight="1">
      <c r="B112" s="55" t="s">
        <v>170</v>
      </c>
      <c r="C112" s="56">
        <f>'Emission Target'!D6</f>
        <v>28380</v>
      </c>
      <c r="D112" s="56">
        <f>'Emission Target'!D7</f>
        <v>24123</v>
      </c>
      <c r="E112" s="56">
        <f>'Emission Target'!D8</f>
        <v>19866</v>
      </c>
      <c r="F112" s="56">
        <f>'Emission Target'!D9</f>
        <v>15609</v>
      </c>
      <c r="G112" s="56">
        <f>'Emission Target'!D10</f>
        <v>12771</v>
      </c>
      <c r="H112" s="56">
        <f>'Emission Target'!D11</f>
        <v>10216.8</v>
      </c>
    </row>
    <row r="113" ht="18.0" customHeight="1">
      <c r="B113" s="55" t="s">
        <v>171</v>
      </c>
      <c r="C113" s="72">
        <f>'Emission Target'!E6</f>
        <v>94.6</v>
      </c>
      <c r="D113" s="72">
        <f>'Emission Target'!E7</f>
        <v>80.41</v>
      </c>
      <c r="E113" s="72">
        <f>'Emission Target'!E8</f>
        <v>66.22</v>
      </c>
      <c r="F113" s="72">
        <f>'Emission Target'!E9</f>
        <v>52.03</v>
      </c>
      <c r="G113" s="72">
        <f>'Emission Target'!E10</f>
        <v>42.57</v>
      </c>
      <c r="H113" s="72">
        <f>'Emission Target'!E11</f>
        <v>34.056</v>
      </c>
    </row>
    <row r="114" ht="18.0" customHeight="1">
      <c r="B114" s="55" t="s">
        <v>1511</v>
      </c>
      <c r="C114" s="285"/>
      <c r="D114" s="285">
        <f>'Task 3_P&amp;L'!D32</f>
        <v>-0.1</v>
      </c>
      <c r="E114" s="285">
        <f>'Task 3_P&amp;L'!E32</f>
        <v>-0.08</v>
      </c>
      <c r="F114" s="285">
        <f>'Task 3_P&amp;L'!F32</f>
        <v>0</v>
      </c>
      <c r="G114" s="285">
        <f>'Task 3_P&amp;L'!G32</f>
        <v>0</v>
      </c>
      <c r="H114" s="285">
        <f>'Task 3_P&amp;L'!H32</f>
        <v>0</v>
      </c>
    </row>
    <row r="115" ht="18.0" customHeight="1">
      <c r="B115" s="55" t="s">
        <v>1512</v>
      </c>
      <c r="C115" s="57"/>
      <c r="D115" s="57" t="str">
        <f>'Task 3_P&amp;L'!D33</f>
        <v>≥</v>
      </c>
      <c r="E115" s="57" t="str">
        <f>'Task 3_P&amp;L'!E33</f>
        <v>≥</v>
      </c>
      <c r="F115" s="57" t="str">
        <f>'Task 3_P&amp;L'!F33</f>
        <v>&gt;</v>
      </c>
      <c r="G115" s="57" t="str">
        <f>'Task 3_P&amp;L'!G33</f>
        <v>&gt;</v>
      </c>
      <c r="H115" s="57" t="str">
        <f>'Task 3_P&amp;L'!H33</f>
        <v>&gt;</v>
      </c>
    </row>
    <row r="116" ht="14.25" customHeight="1"/>
    <row r="117" ht="19.5" customHeight="1">
      <c r="B117" s="286" t="s">
        <v>599</v>
      </c>
      <c r="C117" s="39"/>
      <c r="D117" s="39"/>
      <c r="E117" s="39"/>
      <c r="F117" s="39"/>
      <c r="G117" s="39"/>
      <c r="H117" s="40"/>
      <c r="I117" s="37"/>
      <c r="J117" s="286" t="s">
        <v>600</v>
      </c>
      <c r="K117" s="39"/>
      <c r="L117" s="39"/>
      <c r="M117" s="39"/>
      <c r="N117" s="39"/>
      <c r="O117" s="39"/>
      <c r="P117" s="40"/>
    </row>
    <row r="118" ht="18.0" customHeight="1">
      <c r="B118" s="124" t="s">
        <v>684</v>
      </c>
      <c r="C118" s="51" t="s">
        <v>164</v>
      </c>
      <c r="D118" s="51" t="s">
        <v>165</v>
      </c>
      <c r="E118" s="51" t="s">
        <v>166</v>
      </c>
      <c r="F118" s="51" t="s">
        <v>167</v>
      </c>
      <c r="G118" s="51" t="s">
        <v>168</v>
      </c>
      <c r="H118" s="51" t="s">
        <v>169</v>
      </c>
      <c r="I118" s="37"/>
      <c r="J118" s="124" t="s">
        <v>684</v>
      </c>
      <c r="K118" s="51" t="s">
        <v>164</v>
      </c>
      <c r="L118" s="51" t="s">
        <v>165</v>
      </c>
      <c r="M118" s="51" t="s">
        <v>166</v>
      </c>
      <c r="N118" s="51" t="s">
        <v>167</v>
      </c>
      <c r="O118" s="51" t="s">
        <v>168</v>
      </c>
      <c r="P118" s="51" t="s">
        <v>169</v>
      </c>
    </row>
    <row r="119" ht="16.5" customHeight="1">
      <c r="B119" s="55" t="s">
        <v>872</v>
      </c>
      <c r="C119" s="56">
        <f>'Task 2_Conversion &amp; Forecast'!C19</f>
        <v>5020000</v>
      </c>
      <c r="D119" s="56">
        <f>'Task 2_Conversion &amp; Forecast'!D19</f>
        <v>5622400</v>
      </c>
      <c r="E119" s="56">
        <f>'Task 2_Conversion &amp; Forecast'!E19</f>
        <v>6920572</v>
      </c>
      <c r="F119" s="56">
        <f>'Task 2_Conversion &amp; Forecast'!F19</f>
        <v>8650715</v>
      </c>
      <c r="G119" s="56">
        <f>'Task 2_Conversion &amp; Forecast'!G19</f>
        <v>7656804.013</v>
      </c>
      <c r="H119" s="56">
        <f>'Task 2_Conversion &amp; Forecast'!H19</f>
        <v>6125443.21</v>
      </c>
      <c r="I119" s="37"/>
      <c r="J119" s="55" t="s">
        <v>872</v>
      </c>
      <c r="K119" s="108">
        <f>'Task 3_P&amp;L'!C12</f>
        <v>3.841486828</v>
      </c>
      <c r="L119" s="108">
        <f>'Task 3_P&amp;L'!D12</f>
        <v>3.841486828</v>
      </c>
      <c r="M119" s="108">
        <f>'Task 3_P&amp;L'!E12</f>
        <v>3.841486828</v>
      </c>
      <c r="N119" s="108">
        <f>'Task 3_P&amp;L'!F12</f>
        <v>3.841486828</v>
      </c>
      <c r="O119" s="108">
        <f>'Task 3_P&amp;L'!G12</f>
        <v>3.841486828</v>
      </c>
      <c r="P119" s="108">
        <f>'Task 3_P&amp;L'!H12</f>
        <v>3.841486828</v>
      </c>
    </row>
    <row r="120" ht="16.5" customHeight="1">
      <c r="B120" s="55" t="s">
        <v>873</v>
      </c>
      <c r="C120" s="56">
        <f>'Task 2_Conversion &amp; Forecast'!C19</f>
        <v>5020000</v>
      </c>
      <c r="D120" s="56">
        <f>MIN('Task 2_Conversion &amp; Forecast'!D16,$C$25)</f>
        <v>5622400</v>
      </c>
      <c r="E120" s="56">
        <f>MIN('Task 2_Conversion &amp; Forecast'!E16,$C$25)</f>
        <v>6920572</v>
      </c>
      <c r="F120" s="56">
        <f>MIN('Task 2_Conversion &amp; Forecast'!F16,$C$25)</f>
        <v>8650715</v>
      </c>
      <c r="G120" s="56">
        <f>MIN('Task 2_Conversion &amp; Forecast'!G16,$C$25)</f>
        <v>8650715</v>
      </c>
      <c r="H120" s="56">
        <f>MIN('Task 2_Conversion &amp; Forecast'!H16,$C$25)</f>
        <v>8650715</v>
      </c>
      <c r="I120" s="37"/>
      <c r="J120" s="55" t="s">
        <v>873</v>
      </c>
      <c r="K120" s="108">
        <f>'Task 3_P&amp;L'!C12</f>
        <v>3.841486828</v>
      </c>
      <c r="L120" s="108">
        <f>'Task 3_P&amp;L'!D12</f>
        <v>3.841486828</v>
      </c>
      <c r="M120" s="108">
        <f>'Task 3_P&amp;L'!E12</f>
        <v>3.841486828</v>
      </c>
      <c r="N120" s="108">
        <f>'Task 3_P&amp;L'!F12</f>
        <v>3.841486828</v>
      </c>
      <c r="O120" s="108">
        <f>'Task 3_P&amp;L'!G12</f>
        <v>3.841486828</v>
      </c>
      <c r="P120" s="108">
        <f>'Task 3_P&amp;L'!H12</f>
        <v>3.841486828</v>
      </c>
    </row>
    <row r="121" ht="16.5" customHeight="1">
      <c r="B121" s="55" t="s">
        <v>874</v>
      </c>
      <c r="C121" s="56">
        <f>'Task 2_Conversion &amp; Forecast'!C19</f>
        <v>5020000</v>
      </c>
      <c r="D121" s="80">
        <f t="shared" ref="D121:H121" si="27">D120</f>
        <v>5622400</v>
      </c>
      <c r="E121" s="80">
        <f t="shared" si="27"/>
        <v>6920572</v>
      </c>
      <c r="F121" s="80">
        <f t="shared" si="27"/>
        <v>8650715</v>
      </c>
      <c r="G121" s="80">
        <f t="shared" si="27"/>
        <v>8650715</v>
      </c>
      <c r="H121" s="80">
        <f t="shared" si="27"/>
        <v>8650715</v>
      </c>
      <c r="I121" s="37"/>
      <c r="J121" s="55" t="s">
        <v>874</v>
      </c>
      <c r="K121" s="108">
        <f>'Task 3_P&amp;L'!C12</f>
        <v>3.841486828</v>
      </c>
      <c r="L121" s="108">
        <f>'Task 3_P&amp;L'!D12</f>
        <v>3.841486828</v>
      </c>
      <c r="M121" s="108">
        <f>'Task 3_P&amp;L'!E12</f>
        <v>3.841486828</v>
      </c>
      <c r="N121" s="108">
        <f>'Task 3_P&amp;L'!F12</f>
        <v>3.841486828</v>
      </c>
      <c r="O121" s="108">
        <f>'Task 3_P&amp;L'!G12</f>
        <v>3.841486828</v>
      </c>
      <c r="P121" s="108">
        <f>'Task 3_P&amp;L'!H12</f>
        <v>3.841486828</v>
      </c>
    </row>
    <row r="122" ht="16.5" customHeight="1">
      <c r="B122" s="73" t="s">
        <v>875</v>
      </c>
      <c r="C122" s="56">
        <f>'Task 2_Conversion &amp; Forecast'!C19</f>
        <v>5020000</v>
      </c>
      <c r="D122" s="80">
        <f t="shared" ref="D122:H122" si="28">D120</f>
        <v>5622400</v>
      </c>
      <c r="E122" s="80">
        <f t="shared" si="28"/>
        <v>6920572</v>
      </c>
      <c r="F122" s="80">
        <f t="shared" si="28"/>
        <v>8650715</v>
      </c>
      <c r="G122" s="80">
        <f t="shared" si="28"/>
        <v>8650715</v>
      </c>
      <c r="H122" s="80">
        <f t="shared" si="28"/>
        <v>8650715</v>
      </c>
      <c r="I122" s="37"/>
      <c r="J122" s="73" t="s">
        <v>875</v>
      </c>
      <c r="K122" s="108">
        <f>'Task 3_P&amp;L'!C12</f>
        <v>3.841486828</v>
      </c>
      <c r="L122" s="108">
        <f>'Task 3_P&amp;L'!D12</f>
        <v>3.841486828</v>
      </c>
      <c r="M122" s="108">
        <f>'Task 3_P&amp;L'!E12</f>
        <v>3.841486828</v>
      </c>
      <c r="N122" s="108">
        <f>'Task 3_P&amp;L'!F12</f>
        <v>3.841486828</v>
      </c>
      <c r="O122" s="108">
        <f>'Task 3_P&amp;L'!G12</f>
        <v>3.841486828</v>
      </c>
      <c r="P122" s="108">
        <f>'Task 3_P&amp;L'!H12</f>
        <v>3.841486828</v>
      </c>
    </row>
    <row r="123" ht="14.25" customHeight="1"/>
    <row r="124" ht="19.5" customHeight="1">
      <c r="B124" s="286" t="s">
        <v>337</v>
      </c>
      <c r="C124" s="39"/>
      <c r="D124" s="39"/>
      <c r="E124" s="39"/>
      <c r="F124" s="39"/>
      <c r="G124" s="39"/>
      <c r="H124" s="40"/>
      <c r="I124" s="37"/>
      <c r="J124" s="286" t="s">
        <v>1506</v>
      </c>
      <c r="K124" s="39"/>
      <c r="L124" s="39"/>
      <c r="M124" s="39"/>
      <c r="N124" s="39"/>
      <c r="O124" s="39"/>
      <c r="P124" s="40"/>
    </row>
    <row r="125" ht="18.0" customHeight="1">
      <c r="B125" s="124" t="s">
        <v>684</v>
      </c>
      <c r="C125" s="51" t="s">
        <v>164</v>
      </c>
      <c r="D125" s="51" t="s">
        <v>165</v>
      </c>
      <c r="E125" s="51" t="s">
        <v>166</v>
      </c>
      <c r="F125" s="51" t="s">
        <v>167</v>
      </c>
      <c r="G125" s="51" t="s">
        <v>168</v>
      </c>
      <c r="H125" s="51" t="s">
        <v>169</v>
      </c>
      <c r="I125" s="37"/>
      <c r="J125" s="124" t="s">
        <v>684</v>
      </c>
      <c r="K125" s="51" t="s">
        <v>164</v>
      </c>
      <c r="L125" s="51" t="s">
        <v>165</v>
      </c>
      <c r="M125" s="51" t="s">
        <v>166</v>
      </c>
      <c r="N125" s="51" t="s">
        <v>167</v>
      </c>
      <c r="O125" s="51" t="s">
        <v>168</v>
      </c>
      <c r="P125" s="51" t="s">
        <v>169</v>
      </c>
    </row>
    <row r="126" ht="16.5" customHeight="1">
      <c r="B126" s="55" t="s">
        <v>872</v>
      </c>
      <c r="C126" s="111">
        <f t="shared" ref="C126:H126" si="29">C119*K119</f>
        <v>19284263.88</v>
      </c>
      <c r="D126" s="111">
        <f t="shared" si="29"/>
        <v>21598375.54</v>
      </c>
      <c r="E126" s="111">
        <f t="shared" si="29"/>
        <v>26585286.18</v>
      </c>
      <c r="F126" s="111">
        <f t="shared" si="29"/>
        <v>33231607.73</v>
      </c>
      <c r="G126" s="111">
        <f t="shared" si="29"/>
        <v>29413511.76</v>
      </c>
      <c r="H126" s="111">
        <f t="shared" si="29"/>
        <v>23530809.41</v>
      </c>
      <c r="I126" s="37"/>
      <c r="J126" s="55" t="s">
        <v>872</v>
      </c>
      <c r="K126" s="111">
        <f>C119*'Task 4_ESG vs Traditional'!$C$97</f>
        <v>15323456.2</v>
      </c>
      <c r="L126" s="111">
        <f>D119*'Task 4_ESG vs Traditional'!$C$97</f>
        <v>17162270.94</v>
      </c>
      <c r="M126" s="111">
        <f>E119*'Task 4_ESG vs Traditional'!$C$97</f>
        <v>21124916.72</v>
      </c>
      <c r="N126" s="111">
        <f>F119*'Task 4_ESG vs Traditional'!$C$97</f>
        <v>26406145.9</v>
      </c>
      <c r="O126" s="111">
        <f>G119*'Task 4_ESG vs Traditional'!$C$97</f>
        <v>23372251.18</v>
      </c>
      <c r="P126" s="111">
        <f>H119*'Task 4_ESG vs Traditional'!$C$97</f>
        <v>18697800.94</v>
      </c>
    </row>
    <row r="127" ht="16.5" customHeight="1">
      <c r="B127" s="55" t="s">
        <v>873</v>
      </c>
      <c r="C127" s="111">
        <f t="shared" ref="C127:H127" si="30">C120*K120</f>
        <v>19284263.88</v>
      </c>
      <c r="D127" s="111">
        <f t="shared" si="30"/>
        <v>21598375.54</v>
      </c>
      <c r="E127" s="111">
        <f t="shared" si="30"/>
        <v>26585286.18</v>
      </c>
      <c r="F127" s="111">
        <f t="shared" si="30"/>
        <v>33231607.73</v>
      </c>
      <c r="G127" s="111">
        <f t="shared" si="30"/>
        <v>33231607.73</v>
      </c>
      <c r="H127" s="111">
        <f t="shared" si="30"/>
        <v>33231607.73</v>
      </c>
      <c r="I127" s="37"/>
      <c r="J127" s="55" t="s">
        <v>873</v>
      </c>
      <c r="K127" s="111">
        <f>C120*'Task 4_ESG vs Traditional'!$C$97</f>
        <v>15323456.2</v>
      </c>
      <c r="L127" s="111">
        <f>D120*'Task 4_ESG vs Traditional'!$C$97</f>
        <v>17162270.94</v>
      </c>
      <c r="M127" s="111">
        <f>E120*'Task 4_ESG vs Traditional'!$C$97</f>
        <v>21124916.72</v>
      </c>
      <c r="N127" s="111">
        <f>F120*'Task 4_ESG vs Traditional'!$C$97</f>
        <v>26406145.9</v>
      </c>
      <c r="O127" s="111">
        <f>G120*'Task 4_ESG vs Traditional'!$C$97</f>
        <v>26406145.9</v>
      </c>
      <c r="P127" s="111">
        <f>H120*'Task 4_ESG vs Traditional'!$C$97</f>
        <v>26406145.9</v>
      </c>
    </row>
    <row r="128" ht="16.5" customHeight="1">
      <c r="B128" s="55" t="s">
        <v>874</v>
      </c>
      <c r="C128" s="111">
        <f t="shared" ref="C128:H128" si="31">C121*K121</f>
        <v>19284263.88</v>
      </c>
      <c r="D128" s="111">
        <f t="shared" si="31"/>
        <v>21598375.54</v>
      </c>
      <c r="E128" s="111">
        <f t="shared" si="31"/>
        <v>26585286.18</v>
      </c>
      <c r="F128" s="111">
        <f t="shared" si="31"/>
        <v>33231607.73</v>
      </c>
      <c r="G128" s="111">
        <f t="shared" si="31"/>
        <v>33231607.73</v>
      </c>
      <c r="H128" s="111">
        <f t="shared" si="31"/>
        <v>33231607.73</v>
      </c>
      <c r="I128" s="37"/>
      <c r="J128" s="55" t="s">
        <v>874</v>
      </c>
      <c r="K128" s="111">
        <f>C121*'Task 4_ESG vs Traditional'!$C$97</f>
        <v>15323456.2</v>
      </c>
      <c r="L128" s="111">
        <f>D121*'Task 4_ESG vs Traditional'!$C$97</f>
        <v>17162270.94</v>
      </c>
      <c r="M128" s="111">
        <f>E121*'Task 4_ESG vs Traditional'!$C$97</f>
        <v>21124916.72</v>
      </c>
      <c r="N128" s="111">
        <f>F121*'Task 4_ESG vs Traditional'!$C$97</f>
        <v>26406145.9</v>
      </c>
      <c r="O128" s="111">
        <f>G121*'Task 4_ESG vs Traditional'!$C$97</f>
        <v>26406145.9</v>
      </c>
      <c r="P128" s="111">
        <f>H121*'Task 4_ESG vs Traditional'!$C$97</f>
        <v>26406145.9</v>
      </c>
    </row>
    <row r="129" ht="16.5" customHeight="1">
      <c r="B129" s="73" t="s">
        <v>875</v>
      </c>
      <c r="C129" s="111">
        <f t="shared" ref="C129:H129" si="32">C122*K122</f>
        <v>19284263.88</v>
      </c>
      <c r="D129" s="111">
        <f t="shared" si="32"/>
        <v>21598375.54</v>
      </c>
      <c r="E129" s="111">
        <f t="shared" si="32"/>
        <v>26585286.18</v>
      </c>
      <c r="F129" s="111">
        <f t="shared" si="32"/>
        <v>33231607.73</v>
      </c>
      <c r="G129" s="111">
        <f t="shared" si="32"/>
        <v>33231607.73</v>
      </c>
      <c r="H129" s="111">
        <f t="shared" si="32"/>
        <v>33231607.73</v>
      </c>
      <c r="I129" s="37"/>
      <c r="J129" s="73" t="s">
        <v>875</v>
      </c>
      <c r="K129" s="111">
        <f>C122*'Task 4_ESG vs Traditional'!$C$97</f>
        <v>15323456.2</v>
      </c>
      <c r="L129" s="111">
        <f>D122*'Task 4_ESG vs Traditional'!$C$97</f>
        <v>17162270.94</v>
      </c>
      <c r="M129" s="111">
        <f>E122*'Task 4_ESG vs Traditional'!$C$97</f>
        <v>21124916.72</v>
      </c>
      <c r="N129" s="111">
        <f>F122*'Task 4_ESG vs Traditional'!$C$97</f>
        <v>26406145.9</v>
      </c>
      <c r="O129" s="111">
        <f>G122*'Task 4_ESG vs Traditional'!$C$97</f>
        <v>26406145.9</v>
      </c>
      <c r="P129" s="111">
        <f>H122*'Task 4_ESG vs Traditional'!$C$97</f>
        <v>26406145.9</v>
      </c>
    </row>
    <row r="130" ht="14.25" customHeight="1"/>
    <row r="131" ht="19.5" customHeight="1">
      <c r="B131" s="286" t="s">
        <v>172</v>
      </c>
      <c r="C131" s="39"/>
      <c r="D131" s="39"/>
      <c r="E131" s="39"/>
      <c r="F131" s="39"/>
      <c r="G131" s="39"/>
      <c r="H131" s="40"/>
      <c r="I131" s="37"/>
      <c r="J131" s="286" t="s">
        <v>370</v>
      </c>
      <c r="K131" s="39"/>
      <c r="L131" s="39"/>
      <c r="M131" s="39"/>
      <c r="N131" s="39"/>
      <c r="O131" s="39"/>
      <c r="P131" s="40"/>
    </row>
    <row r="132" ht="18.0" customHeight="1">
      <c r="B132" s="124" t="s">
        <v>684</v>
      </c>
      <c r="C132" s="51" t="s">
        <v>164</v>
      </c>
      <c r="D132" s="51" t="s">
        <v>165</v>
      </c>
      <c r="E132" s="51" t="s">
        <v>166</v>
      </c>
      <c r="F132" s="51" t="s">
        <v>167</v>
      </c>
      <c r="G132" s="51" t="s">
        <v>168</v>
      </c>
      <c r="H132" s="51" t="s">
        <v>169</v>
      </c>
      <c r="I132" s="37"/>
      <c r="J132" s="124" t="s">
        <v>684</v>
      </c>
      <c r="K132" s="51" t="s">
        <v>164</v>
      </c>
      <c r="L132" s="51" t="s">
        <v>165</v>
      </c>
      <c r="M132" s="51" t="s">
        <v>166</v>
      </c>
      <c r="N132" s="51" t="s">
        <v>167</v>
      </c>
      <c r="O132" s="51" t="s">
        <v>168</v>
      </c>
      <c r="P132" s="51" t="s">
        <v>169</v>
      </c>
    </row>
    <row r="133" ht="16.5" customHeight="1">
      <c r="B133" s="55" t="s">
        <v>872</v>
      </c>
      <c r="C133" s="67">
        <f>'Task 1_ESG Roadmap'!C61</f>
        <v>0</v>
      </c>
      <c r="D133" s="67">
        <f>'Task 1_ESG Roadmap'!D61</f>
        <v>0.7534246575</v>
      </c>
      <c r="E133" s="67">
        <f>'Task 1_ESG Roadmap'!E61</f>
        <v>1</v>
      </c>
      <c r="F133" s="67">
        <f>'Task 1_ESG Roadmap'!F61</f>
        <v>1</v>
      </c>
      <c r="G133" s="67">
        <f>'Task 1_ESG Roadmap'!G61</f>
        <v>1</v>
      </c>
      <c r="H133" s="67">
        <f>'Task 1_ESG Roadmap'!H61</f>
        <v>1</v>
      </c>
      <c r="I133" s="37"/>
      <c r="J133" s="55" t="s">
        <v>872</v>
      </c>
      <c r="K133" s="80">
        <f>C119*'Task 1_ESG Roadmap'!$C$111</f>
        <v>300000</v>
      </c>
      <c r="L133" s="80">
        <f>D119*'Task 1_ESG Roadmap'!$C$111</f>
        <v>336000</v>
      </c>
      <c r="M133" s="80">
        <f>E119*'Task 1_ESG Roadmap'!$C$111</f>
        <v>413580</v>
      </c>
      <c r="N133" s="80">
        <f>F119*'Task 1_ESG Roadmap'!$C$111</f>
        <v>516975</v>
      </c>
      <c r="O133" s="80">
        <f>G119*'Task 1_ESG Roadmap'!$C$111</f>
        <v>457577.9291</v>
      </c>
      <c r="P133" s="80">
        <f>H119*'Task 1_ESG Roadmap'!$C$111</f>
        <v>366062.3432</v>
      </c>
    </row>
    <row r="134" ht="16.5" customHeight="1">
      <c r="B134" s="55" t="s">
        <v>873</v>
      </c>
      <c r="C134" s="67">
        <f>'Task 1_ESG Roadmap'!C61</f>
        <v>0</v>
      </c>
      <c r="D134" s="67">
        <f>'Task 1_ESG Roadmap'!D61</f>
        <v>0.7534246575</v>
      </c>
      <c r="E134" s="67">
        <f>'Task 1_ESG Roadmap'!E61</f>
        <v>1</v>
      </c>
      <c r="F134" s="67">
        <f>'Task 1_ESG Roadmap'!F61</f>
        <v>1</v>
      </c>
      <c r="G134" s="67">
        <f>'Task 1_ESG Roadmap'!G61</f>
        <v>1</v>
      </c>
      <c r="H134" s="67">
        <f>'Task 1_ESG Roadmap'!H61</f>
        <v>1</v>
      </c>
      <c r="I134" s="37"/>
      <c r="J134" s="55" t="s">
        <v>873</v>
      </c>
      <c r="K134" s="80">
        <f>C120*'Task 1_ESG Roadmap'!$C$111</f>
        <v>300000</v>
      </c>
      <c r="L134" s="80">
        <f>D120*'Task 1_ESG Roadmap'!$C$111</f>
        <v>336000</v>
      </c>
      <c r="M134" s="80">
        <f>E120*'Task 1_ESG Roadmap'!$C$111</f>
        <v>413580</v>
      </c>
      <c r="N134" s="80">
        <f>F120*'Task 1_ESG Roadmap'!$C$111</f>
        <v>516975</v>
      </c>
      <c r="O134" s="80">
        <f>G120*'Task 1_ESG Roadmap'!$C$111</f>
        <v>516975</v>
      </c>
      <c r="P134" s="80">
        <f>H120*'Task 1_ESG Roadmap'!$C$111</f>
        <v>516975</v>
      </c>
    </row>
    <row r="135" ht="16.5" customHeight="1">
      <c r="B135" s="55" t="s">
        <v>874</v>
      </c>
      <c r="C135" s="67">
        <f>'Task 1_ESG Roadmap'!C61</f>
        <v>0</v>
      </c>
      <c r="D135" s="67">
        <f>'Task 1_ESG Roadmap'!D61</f>
        <v>0.7534246575</v>
      </c>
      <c r="E135" s="67">
        <f>'Task 1_ESG Roadmap'!E61</f>
        <v>1</v>
      </c>
      <c r="F135" s="67">
        <f>'Task 1_ESG Roadmap'!F61</f>
        <v>1</v>
      </c>
      <c r="G135" s="67">
        <f>'Task 1_ESG Roadmap'!G61</f>
        <v>1</v>
      </c>
      <c r="H135" s="67">
        <f>'Task 1_ESG Roadmap'!H61</f>
        <v>1</v>
      </c>
      <c r="I135" s="37"/>
      <c r="J135" s="55" t="s">
        <v>874</v>
      </c>
      <c r="K135" s="80">
        <f>C121*'Task 1_ESG Roadmap'!$C$111</f>
        <v>300000</v>
      </c>
      <c r="L135" s="80">
        <f>D121*'Task 1_ESG Roadmap'!$C$111</f>
        <v>336000</v>
      </c>
      <c r="M135" s="80">
        <f>E121*'Task 1_ESG Roadmap'!$C$111</f>
        <v>413580</v>
      </c>
      <c r="N135" s="80">
        <f>F121*'Task 1_ESG Roadmap'!$C$111</f>
        <v>516975</v>
      </c>
      <c r="O135" s="80">
        <f>G121*'Task 1_ESG Roadmap'!$C$111</f>
        <v>516975</v>
      </c>
      <c r="P135" s="80">
        <f>H121*'Task 1_ESG Roadmap'!$C$111</f>
        <v>516975</v>
      </c>
    </row>
    <row r="136" ht="16.5" customHeight="1">
      <c r="B136" s="73" t="s">
        <v>875</v>
      </c>
      <c r="C136" s="67">
        <f>'Task 1_ESG Roadmap'!C61</f>
        <v>0</v>
      </c>
      <c r="D136" s="67">
        <f>'Task 1_ESG Roadmap'!D61</f>
        <v>0.7534246575</v>
      </c>
      <c r="E136" s="67">
        <f>'Task 1_ESG Roadmap'!E61</f>
        <v>1</v>
      </c>
      <c r="F136" s="67">
        <f>'Task 1_ESG Roadmap'!F61</f>
        <v>1</v>
      </c>
      <c r="G136" s="67">
        <f>'Task 1_ESG Roadmap'!G61</f>
        <v>1</v>
      </c>
      <c r="H136" s="67">
        <f>'Task 1_ESG Roadmap'!H61</f>
        <v>1</v>
      </c>
      <c r="I136" s="37"/>
      <c r="J136" s="73" t="s">
        <v>875</v>
      </c>
      <c r="K136" s="80">
        <f>C122*'Task 1_ESG Roadmap'!$C$111</f>
        <v>300000</v>
      </c>
      <c r="L136" s="80">
        <f>D122*'Task 1_ESG Roadmap'!$C$111</f>
        <v>336000</v>
      </c>
      <c r="M136" s="80">
        <f>E122*'Task 1_ESG Roadmap'!$C$111</f>
        <v>413580</v>
      </c>
      <c r="N136" s="80">
        <f>F122*'Task 1_ESG Roadmap'!$C$111</f>
        <v>516975</v>
      </c>
      <c r="O136" s="80">
        <f>G122*'Task 1_ESG Roadmap'!$C$111</f>
        <v>516975</v>
      </c>
      <c r="P136" s="80">
        <f>H122*'Task 1_ESG Roadmap'!$C$111</f>
        <v>516975</v>
      </c>
    </row>
    <row r="137" ht="14.25" customHeight="1"/>
    <row r="138" ht="19.5" customHeight="1">
      <c r="B138" s="286" t="s">
        <v>1552</v>
      </c>
      <c r="C138" s="39"/>
      <c r="D138" s="39"/>
      <c r="E138" s="39"/>
      <c r="F138" s="39"/>
      <c r="G138" s="39"/>
      <c r="H138" s="40"/>
      <c r="I138" s="37"/>
      <c r="J138" s="286" t="s">
        <v>176</v>
      </c>
      <c r="K138" s="39"/>
      <c r="L138" s="39"/>
      <c r="M138" s="39"/>
      <c r="N138" s="39"/>
      <c r="O138" s="39"/>
      <c r="P138" s="40"/>
    </row>
    <row r="139" ht="18.0" customHeight="1">
      <c r="B139" s="124" t="s">
        <v>684</v>
      </c>
      <c r="C139" s="51" t="s">
        <v>164</v>
      </c>
      <c r="D139" s="51" t="s">
        <v>165</v>
      </c>
      <c r="E139" s="51" t="s">
        <v>166</v>
      </c>
      <c r="F139" s="51" t="s">
        <v>167</v>
      </c>
      <c r="G139" s="51" t="s">
        <v>168</v>
      </c>
      <c r="H139" s="51" t="s">
        <v>169</v>
      </c>
      <c r="I139" s="37"/>
      <c r="J139" s="124" t="s">
        <v>684</v>
      </c>
      <c r="K139" s="51" t="s">
        <v>164</v>
      </c>
      <c r="L139" s="51" t="s">
        <v>165</v>
      </c>
      <c r="M139" s="51" t="s">
        <v>166</v>
      </c>
      <c r="N139" s="51" t="s">
        <v>167</v>
      </c>
      <c r="O139" s="51" t="s">
        <v>168</v>
      </c>
      <c r="P139" s="51" t="s">
        <v>169</v>
      </c>
    </row>
    <row r="140" ht="16.5" customHeight="1">
      <c r="B140" s="55" t="s">
        <v>872</v>
      </c>
      <c r="C140" s="70"/>
      <c r="D140" s="70">
        <f>IF(D133=0,0,MAX(0,('Task 1_ESG Roadmap'!$C$112-(1-'Task 1_ESG Roadmap'!$C$119)*MIN(D$112*1000/L133,D$113))/('Task 1_ESG Roadmap'!$C$112-'Task 1_ESG Roadmap'!$C$116)))</f>
        <v>0.3087144946</v>
      </c>
      <c r="E140" s="70">
        <f>IF(E133=0,0,MAX(0,('Task 1_ESG Roadmap'!$C$112-(1-'Task 1_ESG Roadmap'!$C$119)*MIN(E$112*1000/M133,E$113))/('Task 1_ESG Roadmap'!$C$112-'Task 1_ESG Roadmap'!$C$116)))</f>
        <v>0.5727189971</v>
      </c>
      <c r="F140" s="70">
        <f>IF(F133=0,0,MAX(0,('Task 1_ESG Roadmap'!$C$112-(1-'Task 1_ESG Roadmap'!$C$119)*MIN(F$112*1000/N133,F$113))/('Task 1_ESG Roadmap'!$C$112-'Task 1_ESG Roadmap'!$C$116)))</f>
        <v>0.7709555333</v>
      </c>
      <c r="G140" s="70">
        <f>IF(G133=0,0,MAX(0,('Task 1_ESG Roadmap'!$C$112-(1-'Task 1_ESG Roadmap'!$C$119)*MIN(G$112*1000/O133,G$113))/('Task 1_ESG Roadmap'!$C$112-'Task 1_ESG Roadmap'!$C$116)))</f>
        <v>0.7963216374</v>
      </c>
      <c r="H140" s="70">
        <f>IF(H133=0,0,MAX(0,('Task 1_ESG Roadmap'!$C$112-(1-'Task 1_ESG Roadmap'!$C$119)*MIN(H$112*1000/P133,H$113))/('Task 1_ESG Roadmap'!$C$112-'Task 1_ESG Roadmap'!$C$116)))</f>
        <v>0.7963216374</v>
      </c>
      <c r="I140" s="37"/>
      <c r="J140" s="55" t="s">
        <v>872</v>
      </c>
      <c r="K140" s="70"/>
      <c r="L140" s="70">
        <f>'Task 1_ESG Roadmap'!D64</f>
        <v>0.45</v>
      </c>
      <c r="M140" s="70">
        <f>'Task 1_ESG Roadmap'!E64</f>
        <v>0.6</v>
      </c>
      <c r="N140" s="70">
        <f>'Task 1_ESG Roadmap'!F64</f>
        <v>0.8</v>
      </c>
      <c r="O140" s="70">
        <f>'Task 1_ESG Roadmap'!G64</f>
        <v>0.8</v>
      </c>
      <c r="P140" s="70">
        <f>'Task 1_ESG Roadmap'!H64</f>
        <v>0.8</v>
      </c>
    </row>
    <row r="141" ht="16.5" customHeight="1">
      <c r="B141" s="55" t="s">
        <v>873</v>
      </c>
      <c r="C141" s="70"/>
      <c r="D141" s="70">
        <f>IF(D134=0,0,MAX(0,('Task 1_ESG Roadmap'!$C$112-(1-'Task 1_ESG Roadmap'!$C$119)*MIN(D$112*1000/L134,D$113))/('Task 1_ESG Roadmap'!$C$112-'Task 1_ESG Roadmap'!$C$116)))</f>
        <v>0.3087144946</v>
      </c>
      <c r="E141" s="70">
        <f>IF(E134=0,0,MAX(0,('Task 1_ESG Roadmap'!$C$112-(1-'Task 1_ESG Roadmap'!$C$119)*MIN(E$112*1000/M134,E$113))/('Task 1_ESG Roadmap'!$C$112-'Task 1_ESG Roadmap'!$C$116)))</f>
        <v>0.5727189971</v>
      </c>
      <c r="F141" s="70">
        <f>IF(F134=0,0,MAX(0,('Task 1_ESG Roadmap'!$C$112-(1-'Task 1_ESG Roadmap'!$C$119)*MIN(F$112*1000/N134,F$113))/('Task 1_ESG Roadmap'!$C$112-'Task 1_ESG Roadmap'!$C$116)))</f>
        <v>0.7709555333</v>
      </c>
      <c r="G141" s="70">
        <f>IF(G134=0,0,MAX(0,('Task 1_ESG Roadmap'!$C$112-(1-'Task 1_ESG Roadmap'!$C$119)*MIN(G$112*1000/O134,G$113))/('Task 1_ESG Roadmap'!$C$112-'Task 1_ESG Roadmap'!$C$116)))</f>
        <v>0.8319513906</v>
      </c>
      <c r="H141" s="70">
        <f>IF(H134=0,0,MAX(0,('Task 1_ESG Roadmap'!$C$112-(1-'Task 1_ESG Roadmap'!$C$119)*MIN(H$112*1000/P134,H$113))/('Task 1_ESG Roadmap'!$C$112-'Task 1_ESG Roadmap'!$C$116)))</f>
        <v>0.8868476622</v>
      </c>
      <c r="I141" s="37"/>
      <c r="J141" s="55" t="s">
        <v>873</v>
      </c>
      <c r="K141" s="70"/>
      <c r="L141" s="70">
        <f>'Task 1_ESG Roadmap'!D64</f>
        <v>0.45</v>
      </c>
      <c r="M141" s="70">
        <f>'Task 1_ESG Roadmap'!E64</f>
        <v>0.6</v>
      </c>
      <c r="N141" s="70">
        <f>'Task 1_ESG Roadmap'!F64</f>
        <v>0.8</v>
      </c>
      <c r="O141" s="159">
        <f>IF(G134=0,0,MIN(1,CEILING(ROUND(G141/G134,6),'Task 1_ESG Roadmap'!$C$120)))</f>
        <v>0.85</v>
      </c>
      <c r="P141" s="159">
        <f>IF(H134=0,0,MIN(1,CEILING(ROUND(H141/H134,6),'Task 1_ESG Roadmap'!$C$120)))</f>
        <v>0.9</v>
      </c>
    </row>
    <row r="142" ht="16.5" customHeight="1">
      <c r="B142" s="55" t="s">
        <v>874</v>
      </c>
      <c r="C142" s="70"/>
      <c r="D142" s="70">
        <f>IF(D135=0,0,MAX(0,('Task 1_ESG Roadmap'!$C$112-(1-'Task 1_ESG Roadmap'!$C$119)*MIN(D$112*1000/L135,D$113))/('Task 1_ESG Roadmap'!$C$112-'Task 1_ESG Roadmap'!$C$116)))</f>
        <v>0.3087144946</v>
      </c>
      <c r="E142" s="70">
        <f>IF(E135=0,0,MAX(0,('Task 1_ESG Roadmap'!$C$112-(1-'Task 1_ESG Roadmap'!$C$119)*MIN(E$112*1000/M135,E$113))/('Task 1_ESG Roadmap'!$C$112-'Task 1_ESG Roadmap'!$C$116)))</f>
        <v>0.5727189971</v>
      </c>
      <c r="F142" s="70">
        <f>IF(F135=0,0,MAX(0,('Task 1_ESG Roadmap'!$C$112-(1-'Task 1_ESG Roadmap'!$C$119)*MIN(F$112*1000/N135,F$113))/('Task 1_ESG Roadmap'!$C$112-'Task 1_ESG Roadmap'!$C$116)))</f>
        <v>0.7709555333</v>
      </c>
      <c r="G142" s="70">
        <f>IF(G135=0,0,MAX(0,('Task 1_ESG Roadmap'!$C$112-(1-'Task 1_ESG Roadmap'!$C$119)*MIN(G$112*1000/O135,G$113))/('Task 1_ESG Roadmap'!$C$112-'Task 1_ESG Roadmap'!$C$116)))</f>
        <v>0.8319513906</v>
      </c>
      <c r="H142" s="70">
        <f>IF(H135=0,0,MAX(0,('Task 1_ESG Roadmap'!$C$112-(1-'Task 1_ESG Roadmap'!$C$119)*MIN(H$112*1000/P135,H$113))/('Task 1_ESG Roadmap'!$C$112-'Task 1_ESG Roadmap'!$C$116)))</f>
        <v>0.8868476622</v>
      </c>
      <c r="I142" s="37"/>
      <c r="J142" s="55" t="s">
        <v>874</v>
      </c>
      <c r="K142" s="70"/>
      <c r="L142" s="70">
        <f t="shared" ref="L142:P142" si="33">L140+(L141-L140)*(1-$C$30)</f>
        <v>0.45</v>
      </c>
      <c r="M142" s="70">
        <f t="shared" si="33"/>
        <v>0.6</v>
      </c>
      <c r="N142" s="70">
        <f t="shared" si="33"/>
        <v>0.8</v>
      </c>
      <c r="O142" s="159">
        <f t="shared" si="33"/>
        <v>0.8</v>
      </c>
      <c r="P142" s="159">
        <f t="shared" si="33"/>
        <v>0.8</v>
      </c>
    </row>
    <row r="143" ht="16.5" customHeight="1">
      <c r="B143" s="73" t="s">
        <v>875</v>
      </c>
      <c r="C143" s="70"/>
      <c r="D143" s="70">
        <f>IF(D136=0,0,MAX(0,('Task 1_ESG Roadmap'!$C$112-(1-'Task 1_ESG Roadmap'!$C$119)*MIN(D$112*1000/L136,D$113))/('Task 1_ESG Roadmap'!$C$112-'Task 1_ESG Roadmap'!$C$116)))</f>
        <v>0.3087144946</v>
      </c>
      <c r="E143" s="70">
        <f>IF(E136=0,0,MAX(0,('Task 1_ESG Roadmap'!$C$112-(1-'Task 1_ESG Roadmap'!$C$119)*MIN(E$112*1000/M136,E$113))/('Task 1_ESG Roadmap'!$C$112-'Task 1_ESG Roadmap'!$C$116)))</f>
        <v>0.5727189971</v>
      </c>
      <c r="F143" s="70">
        <f>IF(F136=0,0,MAX(0,('Task 1_ESG Roadmap'!$C$112-(1-'Task 1_ESG Roadmap'!$C$119)*MIN(F$112*1000/N136,F$113))/('Task 1_ESG Roadmap'!$C$112-'Task 1_ESG Roadmap'!$C$116)))</f>
        <v>0.7709555333</v>
      </c>
      <c r="G143" s="70">
        <f>IF(G136=0,0,MAX(0,('Task 1_ESG Roadmap'!$C$112-(1-'Task 1_ESG Roadmap'!$C$119)*MIN(G$112*1000/O136,G$113))/('Task 1_ESG Roadmap'!$C$112-'Task 1_ESG Roadmap'!$C$116)))</f>
        <v>0.8319513906</v>
      </c>
      <c r="H143" s="70">
        <f>IF(H136=0,0,MAX(0,('Task 1_ESG Roadmap'!$C$112-(1-'Task 1_ESG Roadmap'!$C$119)*MIN(H$112*1000/P136,H$113))/('Task 1_ESG Roadmap'!$C$112-'Task 1_ESG Roadmap'!$C$116)))</f>
        <v>0.8868476622</v>
      </c>
      <c r="I143" s="37"/>
      <c r="J143" s="73" t="s">
        <v>875</v>
      </c>
      <c r="K143" s="70"/>
      <c r="L143" s="70">
        <f t="shared" ref="L143:P143" si="34">L140+(L141-L140)*(1-$C$31)</f>
        <v>0.45</v>
      </c>
      <c r="M143" s="70">
        <f t="shared" si="34"/>
        <v>0.6</v>
      </c>
      <c r="N143" s="70">
        <f t="shared" si="34"/>
        <v>0.8</v>
      </c>
      <c r="O143" s="159">
        <f t="shared" si="34"/>
        <v>0.825</v>
      </c>
      <c r="P143" s="159">
        <f t="shared" si="34"/>
        <v>0.85</v>
      </c>
    </row>
    <row r="144" ht="14.25" customHeight="1"/>
    <row r="145" ht="19.5" customHeight="1">
      <c r="B145" s="286" t="s">
        <v>177</v>
      </c>
      <c r="C145" s="39"/>
      <c r="D145" s="39"/>
      <c r="E145" s="39"/>
      <c r="F145" s="39"/>
      <c r="G145" s="39"/>
      <c r="H145" s="40"/>
      <c r="I145" s="37"/>
      <c r="J145" s="286" t="s">
        <v>1609</v>
      </c>
      <c r="K145" s="39"/>
      <c r="L145" s="39"/>
      <c r="M145" s="39"/>
      <c r="N145" s="39"/>
      <c r="O145" s="39"/>
      <c r="P145" s="40"/>
    </row>
    <row r="146" ht="18.0" customHeight="1">
      <c r="B146" s="124" t="s">
        <v>684</v>
      </c>
      <c r="C146" s="51" t="s">
        <v>164</v>
      </c>
      <c r="D146" s="51" t="s">
        <v>165</v>
      </c>
      <c r="E146" s="51" t="s">
        <v>166</v>
      </c>
      <c r="F146" s="51" t="s">
        <v>167</v>
      </c>
      <c r="G146" s="51" t="s">
        <v>168</v>
      </c>
      <c r="H146" s="51" t="s">
        <v>169</v>
      </c>
      <c r="I146" s="37"/>
      <c r="J146" s="124" t="s">
        <v>684</v>
      </c>
      <c r="K146" s="51" t="s">
        <v>164</v>
      </c>
      <c r="L146" s="51" t="s">
        <v>165</v>
      </c>
      <c r="M146" s="51" t="s">
        <v>166</v>
      </c>
      <c r="N146" s="51" t="s">
        <v>167</v>
      </c>
      <c r="O146" s="51" t="s">
        <v>168</v>
      </c>
      <c r="P146" s="51" t="s">
        <v>169</v>
      </c>
    </row>
    <row r="147" ht="16.5" customHeight="1">
      <c r="B147" s="55" t="s">
        <v>872</v>
      </c>
      <c r="C147" s="70"/>
      <c r="D147" s="70">
        <f t="shared" ref="D147:H147" si="35">L140*D133</f>
        <v>0.3390410959</v>
      </c>
      <c r="E147" s="70">
        <f t="shared" si="35"/>
        <v>0.6</v>
      </c>
      <c r="F147" s="70">
        <f t="shared" si="35"/>
        <v>0.8</v>
      </c>
      <c r="G147" s="70">
        <f t="shared" si="35"/>
        <v>0.8</v>
      </c>
      <c r="H147" s="70">
        <f t="shared" si="35"/>
        <v>0.8</v>
      </c>
      <c r="I147" s="37"/>
      <c r="J147" s="55" t="s">
        <v>872</v>
      </c>
      <c r="K147" s="80"/>
      <c r="L147" s="80">
        <f>L133*('Task 1_ESG Roadmap'!$C$112-D147*('Task 1_ESG Roadmap'!$C$112-'Task 1_ESG Roadmap'!$C$116))/1000</f>
        <v>22045.6274</v>
      </c>
      <c r="M147" s="80">
        <f>M133*('Task 1_ESG Roadmap'!$C$112-E147*('Task 1_ESG Roadmap'!$C$112-'Task 1_ESG Roadmap'!$C$116))/1000</f>
        <v>17908.014</v>
      </c>
      <c r="N147" s="80">
        <f>N133*('Task 1_ESG Roadmap'!$C$112-F147*('Task 1_ESG Roadmap'!$C$112-'Task 1_ESG Roadmap'!$C$116))/1000</f>
        <v>13544.745</v>
      </c>
      <c r="O147" s="80">
        <f>O133*('Task 1_ESG Roadmap'!$C$112-G147*('Task 1_ESG Roadmap'!$C$112-'Task 1_ESG Roadmap'!$C$116))/1000</f>
        <v>11988.54174</v>
      </c>
      <c r="P147" s="80">
        <f>P133*('Task 1_ESG Roadmap'!$C$112-H147*('Task 1_ESG Roadmap'!$C$112-'Task 1_ESG Roadmap'!$C$116))/1000</f>
        <v>9590.833393</v>
      </c>
    </row>
    <row r="148" ht="16.5" customHeight="1">
      <c r="B148" s="55" t="s">
        <v>873</v>
      </c>
      <c r="C148" s="70"/>
      <c r="D148" s="70">
        <f t="shared" ref="D148:H148" si="36">L141*D134</f>
        <v>0.3390410959</v>
      </c>
      <c r="E148" s="70">
        <f t="shared" si="36"/>
        <v>0.6</v>
      </c>
      <c r="F148" s="70">
        <f t="shared" si="36"/>
        <v>0.8</v>
      </c>
      <c r="G148" s="70">
        <f t="shared" si="36"/>
        <v>0.85</v>
      </c>
      <c r="H148" s="70">
        <f t="shared" si="36"/>
        <v>0.9</v>
      </c>
      <c r="I148" s="37"/>
      <c r="J148" s="55" t="s">
        <v>873</v>
      </c>
      <c r="K148" s="80"/>
      <c r="L148" s="80">
        <f>L134*('Task 1_ESG Roadmap'!$C$112-D148*('Task 1_ESG Roadmap'!$C$112-'Task 1_ESG Roadmap'!$C$116))/1000</f>
        <v>22045.6274</v>
      </c>
      <c r="M148" s="80">
        <f>M134*('Task 1_ESG Roadmap'!$C$112-E148*('Task 1_ESG Roadmap'!$C$112-'Task 1_ESG Roadmap'!$C$116))/1000</f>
        <v>17908.014</v>
      </c>
      <c r="N148" s="80">
        <f>N134*('Task 1_ESG Roadmap'!$C$112-F148*('Task 1_ESG Roadmap'!$C$112-'Task 1_ESG Roadmap'!$C$116))/1000</f>
        <v>13544.745</v>
      </c>
      <c r="O148" s="80">
        <f>O134*('Task 1_ESG Roadmap'!$C$112-G148*('Task 1_ESG Roadmap'!$C$112-'Task 1_ESG Roadmap'!$C$116))/1000</f>
        <v>11334.67688</v>
      </c>
      <c r="P148" s="80">
        <f>P134*('Task 1_ESG Roadmap'!$C$112-H148*('Task 1_ESG Roadmap'!$C$112-'Task 1_ESG Roadmap'!$C$116))/1000</f>
        <v>9124.60875</v>
      </c>
    </row>
    <row r="149" ht="16.5" customHeight="1">
      <c r="B149" s="55" t="s">
        <v>874</v>
      </c>
      <c r="C149" s="70"/>
      <c r="D149" s="70">
        <f t="shared" ref="D149:H149" si="37">L142*D135</f>
        <v>0.3390410959</v>
      </c>
      <c r="E149" s="70">
        <f t="shared" si="37"/>
        <v>0.6</v>
      </c>
      <c r="F149" s="70">
        <f t="shared" si="37"/>
        <v>0.8</v>
      </c>
      <c r="G149" s="70">
        <f t="shared" si="37"/>
        <v>0.8</v>
      </c>
      <c r="H149" s="70">
        <f t="shared" si="37"/>
        <v>0.8</v>
      </c>
      <c r="I149" s="37"/>
      <c r="J149" s="55" t="s">
        <v>874</v>
      </c>
      <c r="K149" s="80"/>
      <c r="L149" s="80">
        <f>L135*('Task 1_ESG Roadmap'!$C$112-D149*('Task 1_ESG Roadmap'!$C$112-'Task 1_ESG Roadmap'!$C$116))/1000</f>
        <v>22045.6274</v>
      </c>
      <c r="M149" s="80">
        <f>M135*('Task 1_ESG Roadmap'!$C$112-E149*('Task 1_ESG Roadmap'!$C$112-'Task 1_ESG Roadmap'!$C$116))/1000</f>
        <v>17908.014</v>
      </c>
      <c r="N149" s="80">
        <f>N135*('Task 1_ESG Roadmap'!$C$112-F149*('Task 1_ESG Roadmap'!$C$112-'Task 1_ESG Roadmap'!$C$116))/1000</f>
        <v>13544.745</v>
      </c>
      <c r="O149" s="80">
        <f>O135*('Task 1_ESG Roadmap'!$C$112-G149*('Task 1_ESG Roadmap'!$C$112-'Task 1_ESG Roadmap'!$C$116))/1000</f>
        <v>13544.745</v>
      </c>
      <c r="P149" s="80">
        <f>P135*('Task 1_ESG Roadmap'!$C$112-H149*('Task 1_ESG Roadmap'!$C$112-'Task 1_ESG Roadmap'!$C$116))/1000</f>
        <v>13544.745</v>
      </c>
    </row>
    <row r="150" ht="16.5" customHeight="1">
      <c r="B150" s="73" t="s">
        <v>875</v>
      </c>
      <c r="C150" s="70"/>
      <c r="D150" s="70">
        <f t="shared" ref="D150:H150" si="38">L143*D136</f>
        <v>0.3390410959</v>
      </c>
      <c r="E150" s="70">
        <f t="shared" si="38"/>
        <v>0.6</v>
      </c>
      <c r="F150" s="70">
        <f t="shared" si="38"/>
        <v>0.8</v>
      </c>
      <c r="G150" s="70">
        <f t="shared" si="38"/>
        <v>0.825</v>
      </c>
      <c r="H150" s="70">
        <f t="shared" si="38"/>
        <v>0.85</v>
      </c>
      <c r="I150" s="37"/>
      <c r="J150" s="73" t="s">
        <v>875</v>
      </c>
      <c r="K150" s="80"/>
      <c r="L150" s="80">
        <f>L136*('Task 1_ESG Roadmap'!$C$112-D150*('Task 1_ESG Roadmap'!$C$112-'Task 1_ESG Roadmap'!$C$116))/1000</f>
        <v>22045.6274</v>
      </c>
      <c r="M150" s="80">
        <f>M136*('Task 1_ESG Roadmap'!$C$112-E150*('Task 1_ESG Roadmap'!$C$112-'Task 1_ESG Roadmap'!$C$116))/1000</f>
        <v>17908.014</v>
      </c>
      <c r="N150" s="80">
        <f>N136*('Task 1_ESG Roadmap'!$C$112-F150*('Task 1_ESG Roadmap'!$C$112-'Task 1_ESG Roadmap'!$C$116))/1000</f>
        <v>13544.745</v>
      </c>
      <c r="O150" s="80">
        <f>O136*('Task 1_ESG Roadmap'!$C$112-G150*('Task 1_ESG Roadmap'!$C$112-'Task 1_ESG Roadmap'!$C$116))/1000</f>
        <v>12439.71094</v>
      </c>
      <c r="P150" s="80">
        <f>P136*('Task 1_ESG Roadmap'!$C$112-H150*('Task 1_ESG Roadmap'!$C$112-'Task 1_ESG Roadmap'!$C$116))/1000</f>
        <v>11334.67688</v>
      </c>
    </row>
    <row r="151" ht="14.25" customHeight="1"/>
    <row r="152" ht="19.5" customHeight="1">
      <c r="B152" s="286" t="s">
        <v>1610</v>
      </c>
      <c r="C152" s="39"/>
      <c r="D152" s="39"/>
      <c r="E152" s="39"/>
      <c r="F152" s="39"/>
      <c r="G152" s="39"/>
      <c r="H152" s="40"/>
      <c r="I152" s="37"/>
      <c r="J152" s="286" t="s">
        <v>1611</v>
      </c>
      <c r="K152" s="39"/>
      <c r="L152" s="39"/>
      <c r="M152" s="39"/>
      <c r="N152" s="39"/>
      <c r="O152" s="39"/>
      <c r="P152" s="40"/>
    </row>
    <row r="153" ht="18.0" customHeight="1">
      <c r="B153" s="124" t="s">
        <v>684</v>
      </c>
      <c r="C153" s="51" t="s">
        <v>164</v>
      </c>
      <c r="D153" s="51" t="s">
        <v>165</v>
      </c>
      <c r="E153" s="51" t="s">
        <v>166</v>
      </c>
      <c r="F153" s="51" t="s">
        <v>167</v>
      </c>
      <c r="G153" s="51" t="s">
        <v>168</v>
      </c>
      <c r="H153" s="51" t="s">
        <v>169</v>
      </c>
      <c r="I153" s="37"/>
      <c r="J153" s="124" t="s">
        <v>684</v>
      </c>
      <c r="K153" s="51" t="s">
        <v>164</v>
      </c>
      <c r="L153" s="51" t="s">
        <v>165</v>
      </c>
      <c r="M153" s="51" t="s">
        <v>166</v>
      </c>
      <c r="N153" s="51" t="s">
        <v>167</v>
      </c>
      <c r="O153" s="51" t="s">
        <v>168</v>
      </c>
      <c r="P153" s="51" t="s">
        <v>169</v>
      </c>
    </row>
    <row r="154" ht="16.5" customHeight="1">
      <c r="B154" s="55" t="s">
        <v>872</v>
      </c>
      <c r="C154" s="80"/>
      <c r="D154" s="80">
        <f t="shared" ref="D154:H154" si="39">0</f>
        <v>0</v>
      </c>
      <c r="E154" s="80">
        <f t="shared" si="39"/>
        <v>0</v>
      </c>
      <c r="F154" s="80">
        <f t="shared" si="39"/>
        <v>0</v>
      </c>
      <c r="G154" s="80">
        <f t="shared" si="39"/>
        <v>0</v>
      </c>
      <c r="H154" s="80">
        <f t="shared" si="39"/>
        <v>0</v>
      </c>
      <c r="I154" s="37"/>
      <c r="J154" s="55" t="s">
        <v>872</v>
      </c>
      <c r="K154" s="80"/>
      <c r="L154" s="80">
        <f t="shared" ref="L154:P154" si="40">L147-D168</f>
        <v>22045.6274</v>
      </c>
      <c r="M154" s="80">
        <f t="shared" si="40"/>
        <v>17908.014</v>
      </c>
      <c r="N154" s="80">
        <f t="shared" si="40"/>
        <v>13544.745</v>
      </c>
      <c r="O154" s="80">
        <f t="shared" si="40"/>
        <v>11988.54174</v>
      </c>
      <c r="P154" s="80">
        <f t="shared" si="40"/>
        <v>9590.833393</v>
      </c>
    </row>
    <row r="155" ht="16.5" customHeight="1">
      <c r="B155" s="55" t="s">
        <v>873</v>
      </c>
      <c r="C155" s="80"/>
      <c r="D155" s="80">
        <f t="shared" ref="D155:H155" si="41">0</f>
        <v>0</v>
      </c>
      <c r="E155" s="80">
        <f t="shared" si="41"/>
        <v>0</v>
      </c>
      <c r="F155" s="80">
        <f t="shared" si="41"/>
        <v>0</v>
      </c>
      <c r="G155" s="80">
        <f t="shared" si="41"/>
        <v>0</v>
      </c>
      <c r="H155" s="80">
        <f t="shared" si="41"/>
        <v>0</v>
      </c>
      <c r="I155" s="37"/>
      <c r="J155" s="55" t="s">
        <v>873</v>
      </c>
      <c r="K155" s="80"/>
      <c r="L155" s="80">
        <f t="shared" ref="L155:P155" si="42">L148-D169</f>
        <v>22045.6274</v>
      </c>
      <c r="M155" s="80">
        <f t="shared" si="42"/>
        <v>17908.014</v>
      </c>
      <c r="N155" s="80">
        <f t="shared" si="42"/>
        <v>13544.745</v>
      </c>
      <c r="O155" s="80">
        <f t="shared" si="42"/>
        <v>11334.67688</v>
      </c>
      <c r="P155" s="80">
        <f t="shared" si="42"/>
        <v>9124.60875</v>
      </c>
    </row>
    <row r="156" ht="16.5" customHeight="1">
      <c r="B156" s="55" t="s">
        <v>874</v>
      </c>
      <c r="C156" s="80"/>
      <c r="D156" s="80">
        <f t="shared" ref="D156:H156" si="43">MAX(0,L149-L148)</f>
        <v>0</v>
      </c>
      <c r="E156" s="80">
        <f t="shared" si="43"/>
        <v>0</v>
      </c>
      <c r="F156" s="80">
        <f t="shared" si="43"/>
        <v>0</v>
      </c>
      <c r="G156" s="80">
        <f t="shared" si="43"/>
        <v>2210.068125</v>
      </c>
      <c r="H156" s="80">
        <f t="shared" si="43"/>
        <v>4420.13625</v>
      </c>
      <c r="I156" s="37"/>
      <c r="J156" s="55" t="s">
        <v>874</v>
      </c>
      <c r="K156" s="80"/>
      <c r="L156" s="80">
        <f t="shared" ref="L156:P156" si="44">L149-D170</f>
        <v>22045.6274</v>
      </c>
      <c r="M156" s="80">
        <f t="shared" si="44"/>
        <v>17908.014</v>
      </c>
      <c r="N156" s="80">
        <f t="shared" si="44"/>
        <v>13544.745</v>
      </c>
      <c r="O156" s="80">
        <f t="shared" si="44"/>
        <v>11334.67688</v>
      </c>
      <c r="P156" s="80">
        <f t="shared" si="44"/>
        <v>10479.705</v>
      </c>
    </row>
    <row r="157" ht="16.5" customHeight="1">
      <c r="B157" s="73" t="s">
        <v>875</v>
      </c>
      <c r="C157" s="80"/>
      <c r="D157" s="80">
        <f t="shared" ref="D157:H157" si="45">MAX(0,L150-L148)</f>
        <v>0</v>
      </c>
      <c r="E157" s="80">
        <f t="shared" si="45"/>
        <v>0</v>
      </c>
      <c r="F157" s="80">
        <f t="shared" si="45"/>
        <v>0</v>
      </c>
      <c r="G157" s="80">
        <f t="shared" si="45"/>
        <v>1105.034063</v>
      </c>
      <c r="H157" s="80">
        <f t="shared" si="45"/>
        <v>2210.068125</v>
      </c>
      <c r="I157" s="37"/>
      <c r="J157" s="73" t="s">
        <v>875</v>
      </c>
      <c r="K157" s="80"/>
      <c r="L157" s="80">
        <f t="shared" ref="L157:P157" si="46">L150-D171</f>
        <v>22045.6274</v>
      </c>
      <c r="M157" s="80">
        <f t="shared" si="46"/>
        <v>17908.014</v>
      </c>
      <c r="N157" s="80">
        <f t="shared" si="46"/>
        <v>13544.745</v>
      </c>
      <c r="O157" s="80">
        <f t="shared" si="46"/>
        <v>11334.67688</v>
      </c>
      <c r="P157" s="80">
        <f t="shared" si="46"/>
        <v>9124.60875</v>
      </c>
    </row>
    <row r="158" ht="14.25" customHeight="1"/>
    <row r="159" ht="19.5" customHeight="1">
      <c r="B159" s="286" t="s">
        <v>1612</v>
      </c>
      <c r="C159" s="39"/>
      <c r="D159" s="39"/>
      <c r="E159" s="39"/>
      <c r="F159" s="39"/>
      <c r="G159" s="39"/>
      <c r="H159" s="40"/>
      <c r="I159" s="37"/>
      <c r="J159" s="286" t="s">
        <v>1613</v>
      </c>
      <c r="K159" s="39"/>
      <c r="L159" s="39"/>
      <c r="M159" s="39"/>
      <c r="N159" s="39"/>
      <c r="O159" s="39"/>
      <c r="P159" s="40"/>
    </row>
    <row r="160" ht="18.0" customHeight="1">
      <c r="B160" s="124" t="s">
        <v>684</v>
      </c>
      <c r="C160" s="51" t="s">
        <v>164</v>
      </c>
      <c r="D160" s="51" t="s">
        <v>165</v>
      </c>
      <c r="E160" s="51" t="s">
        <v>166</v>
      </c>
      <c r="F160" s="51" t="s">
        <v>167</v>
      </c>
      <c r="G160" s="51" t="s">
        <v>168</v>
      </c>
      <c r="H160" s="51" t="s">
        <v>169</v>
      </c>
      <c r="I160" s="37"/>
      <c r="J160" s="124" t="s">
        <v>684</v>
      </c>
      <c r="K160" s="51" t="s">
        <v>164</v>
      </c>
      <c r="L160" s="51" t="s">
        <v>165</v>
      </c>
      <c r="M160" s="51" t="s">
        <v>166</v>
      </c>
      <c r="N160" s="51" t="s">
        <v>167</v>
      </c>
      <c r="O160" s="51" t="s">
        <v>168</v>
      </c>
      <c r="P160" s="51" t="s">
        <v>169</v>
      </c>
    </row>
    <row r="161" ht="16.5" customHeight="1">
      <c r="B161" s="55" t="s">
        <v>872</v>
      </c>
      <c r="C161" s="77"/>
      <c r="D161" s="77" t="str">
        <f t="shared" ref="D161:H161" si="47">IF(AND(L154&lt;=D$112+0.5,L154*1000/L133&lt;=D$113+0.05),"Compliant","NOT compliant")</f>
        <v>Compliant</v>
      </c>
      <c r="E161" s="77" t="str">
        <f t="shared" si="47"/>
        <v>Compliant</v>
      </c>
      <c r="F161" s="77" t="str">
        <f t="shared" si="47"/>
        <v>Compliant</v>
      </c>
      <c r="G161" s="77" t="str">
        <f t="shared" si="47"/>
        <v>Compliant</v>
      </c>
      <c r="H161" s="77" t="str">
        <f t="shared" si="47"/>
        <v>Compliant</v>
      </c>
      <c r="I161" s="37"/>
      <c r="J161" s="55" t="s">
        <v>872</v>
      </c>
      <c r="K161" s="70"/>
      <c r="L161" s="70">
        <f t="shared" ref="L161:P161" si="48">1-L154/D$112</f>
        <v>0.08611584806</v>
      </c>
      <c r="M161" s="70">
        <f t="shared" si="48"/>
        <v>0.09855964965</v>
      </c>
      <c r="N161" s="70">
        <f t="shared" si="48"/>
        <v>0.1322477417</v>
      </c>
      <c r="O161" s="70">
        <f t="shared" si="48"/>
        <v>0.06126836259</v>
      </c>
      <c r="P161" s="70">
        <f t="shared" si="48"/>
        <v>0.06126836259</v>
      </c>
    </row>
    <row r="162" ht="16.5" customHeight="1">
      <c r="B162" s="55" t="s">
        <v>873</v>
      </c>
      <c r="C162" s="77"/>
      <c r="D162" s="77" t="str">
        <f t="shared" ref="D162:H162" si="49">IF(AND(L155&lt;=D$112+0.5,L155*1000/L134&lt;=D$113+0.05),"Compliant","NOT compliant")</f>
        <v>Compliant</v>
      </c>
      <c r="E162" s="77" t="str">
        <f t="shared" si="49"/>
        <v>Compliant</v>
      </c>
      <c r="F162" s="77" t="str">
        <f t="shared" si="49"/>
        <v>Compliant</v>
      </c>
      <c r="G162" s="77" t="str">
        <f t="shared" si="49"/>
        <v>Compliant</v>
      </c>
      <c r="H162" s="77" t="str">
        <f t="shared" si="49"/>
        <v>Compliant</v>
      </c>
      <c r="I162" s="37"/>
      <c r="J162" s="55" t="s">
        <v>873</v>
      </c>
      <c r="K162" s="70"/>
      <c r="L162" s="70">
        <f t="shared" ref="L162:P162" si="50">1-L155/D$112</f>
        <v>0.08611584806</v>
      </c>
      <c r="M162" s="70">
        <f t="shared" si="50"/>
        <v>0.09855964965</v>
      </c>
      <c r="N162" s="70">
        <f t="shared" si="50"/>
        <v>0.1322477417</v>
      </c>
      <c r="O162" s="70">
        <f t="shared" si="50"/>
        <v>0.1124675534</v>
      </c>
      <c r="P162" s="70">
        <f t="shared" si="50"/>
        <v>0.1069015005</v>
      </c>
    </row>
    <row r="163" ht="16.5" customHeight="1">
      <c r="B163" s="55" t="s">
        <v>874</v>
      </c>
      <c r="C163" s="77"/>
      <c r="D163" s="77" t="str">
        <f t="shared" ref="D163:H163" si="51">IF(AND(L156&lt;=D$112+0.5,L156*1000/L135&lt;=D$113+0.05),"Compliant","NOT compliant")</f>
        <v>Compliant</v>
      </c>
      <c r="E163" s="77" t="str">
        <f t="shared" si="51"/>
        <v>Compliant</v>
      </c>
      <c r="F163" s="77" t="str">
        <f t="shared" si="51"/>
        <v>Compliant</v>
      </c>
      <c r="G163" s="77" t="str">
        <f t="shared" si="51"/>
        <v>Compliant</v>
      </c>
      <c r="H163" s="77" t="str">
        <f t="shared" si="51"/>
        <v>NOT compliant</v>
      </c>
      <c r="I163" s="37"/>
      <c r="J163" s="55" t="s">
        <v>874</v>
      </c>
      <c r="K163" s="70"/>
      <c r="L163" s="70">
        <f t="shared" ref="L163:P163" si="52">1-L156/D$112</f>
        <v>0.08611584806</v>
      </c>
      <c r="M163" s="70">
        <f t="shared" si="52"/>
        <v>0.09855964965</v>
      </c>
      <c r="N163" s="70">
        <f t="shared" si="52"/>
        <v>0.1322477417</v>
      </c>
      <c r="O163" s="70">
        <f t="shared" si="52"/>
        <v>0.1124675534</v>
      </c>
      <c r="P163" s="70">
        <f t="shared" si="52"/>
        <v>-0.02573261687</v>
      </c>
    </row>
    <row r="164" ht="16.5" customHeight="1">
      <c r="B164" s="73" t="s">
        <v>875</v>
      </c>
      <c r="C164" s="77"/>
      <c r="D164" s="77" t="str">
        <f t="shared" ref="D164:H164" si="53">IF(AND(L157&lt;=D$112+0.5,L157*1000/L136&lt;=D$113+0.05),"Compliant","NOT compliant")</f>
        <v>Compliant</v>
      </c>
      <c r="E164" s="77" t="str">
        <f t="shared" si="53"/>
        <v>Compliant</v>
      </c>
      <c r="F164" s="77" t="str">
        <f t="shared" si="53"/>
        <v>Compliant</v>
      </c>
      <c r="G164" s="77" t="str">
        <f t="shared" si="53"/>
        <v>Compliant</v>
      </c>
      <c r="H164" s="77" t="str">
        <f t="shared" si="53"/>
        <v>Compliant</v>
      </c>
      <c r="I164" s="37"/>
      <c r="J164" s="73" t="s">
        <v>875</v>
      </c>
      <c r="K164" s="70"/>
      <c r="L164" s="70">
        <f t="shared" ref="L164:P164" si="54">1-L157/D$112</f>
        <v>0.08611584806</v>
      </c>
      <c r="M164" s="70">
        <f t="shared" si="54"/>
        <v>0.09855964965</v>
      </c>
      <c r="N164" s="70">
        <f t="shared" si="54"/>
        <v>0.1322477417</v>
      </c>
      <c r="O164" s="70">
        <f t="shared" si="54"/>
        <v>0.1124675534</v>
      </c>
      <c r="P164" s="70">
        <f t="shared" si="54"/>
        <v>0.1069015005</v>
      </c>
    </row>
    <row r="165" ht="14.25" customHeight="1"/>
    <row r="166" ht="19.5" customHeight="1">
      <c r="B166" s="286" t="s">
        <v>1614</v>
      </c>
      <c r="C166" s="39"/>
      <c r="D166" s="39"/>
      <c r="E166" s="39"/>
      <c r="F166" s="39"/>
      <c r="G166" s="39"/>
      <c r="H166" s="40"/>
      <c r="I166" s="37"/>
      <c r="J166" s="286" t="s">
        <v>1615</v>
      </c>
      <c r="K166" s="39"/>
      <c r="L166" s="39"/>
      <c r="M166" s="39"/>
      <c r="N166" s="39"/>
      <c r="O166" s="39"/>
      <c r="P166" s="40"/>
    </row>
    <row r="167" ht="18.0" customHeight="1">
      <c r="B167" s="124" t="s">
        <v>684</v>
      </c>
      <c r="C167" s="51" t="s">
        <v>164</v>
      </c>
      <c r="D167" s="51" t="s">
        <v>165</v>
      </c>
      <c r="E167" s="51" t="s">
        <v>166</v>
      </c>
      <c r="F167" s="51" t="s">
        <v>167</v>
      </c>
      <c r="G167" s="51" t="s">
        <v>168</v>
      </c>
      <c r="H167" s="51" t="s">
        <v>169</v>
      </c>
      <c r="I167" s="37"/>
      <c r="J167" s="124" t="s">
        <v>684</v>
      </c>
      <c r="K167" s="51" t="s">
        <v>164</v>
      </c>
      <c r="L167" s="51" t="s">
        <v>165</v>
      </c>
      <c r="M167" s="51" t="s">
        <v>166</v>
      </c>
      <c r="N167" s="51" t="s">
        <v>167</v>
      </c>
      <c r="O167" s="51" t="s">
        <v>168</v>
      </c>
      <c r="P167" s="51" t="s">
        <v>169</v>
      </c>
    </row>
    <row r="168" ht="16.5" customHeight="1">
      <c r="B168" s="55" t="s">
        <v>872</v>
      </c>
      <c r="C168" s="80"/>
      <c r="D168" s="80">
        <f t="shared" ref="D168:H168" si="55">MIN(D154,$C$32*D$112)</f>
        <v>0</v>
      </c>
      <c r="E168" s="80">
        <f t="shared" si="55"/>
        <v>0</v>
      </c>
      <c r="F168" s="80">
        <f t="shared" si="55"/>
        <v>0</v>
      </c>
      <c r="G168" s="80">
        <f t="shared" si="55"/>
        <v>0</v>
      </c>
      <c r="H168" s="80">
        <f t="shared" si="55"/>
        <v>0</v>
      </c>
      <c r="I168" s="37"/>
      <c r="J168" s="55" t="s">
        <v>872</v>
      </c>
      <c r="K168" s="111"/>
      <c r="L168" s="111">
        <f t="shared" ref="L168:P168" si="56">D154*$C$29</f>
        <v>0</v>
      </c>
      <c r="M168" s="111">
        <f t="shared" si="56"/>
        <v>0</v>
      </c>
      <c r="N168" s="111">
        <f t="shared" si="56"/>
        <v>0</v>
      </c>
      <c r="O168" s="111">
        <f t="shared" si="56"/>
        <v>0</v>
      </c>
      <c r="P168" s="111">
        <f t="shared" si="56"/>
        <v>0</v>
      </c>
    </row>
    <row r="169" ht="16.5" customHeight="1">
      <c r="B169" s="55" t="s">
        <v>873</v>
      </c>
      <c r="C169" s="80"/>
      <c r="D169" s="80">
        <f t="shared" ref="D169:H169" si="57">MIN(D155,$C$32*D$112)</f>
        <v>0</v>
      </c>
      <c r="E169" s="80">
        <f t="shared" si="57"/>
        <v>0</v>
      </c>
      <c r="F169" s="80">
        <f t="shared" si="57"/>
        <v>0</v>
      </c>
      <c r="G169" s="80">
        <f t="shared" si="57"/>
        <v>0</v>
      </c>
      <c r="H169" s="80">
        <f t="shared" si="57"/>
        <v>0</v>
      </c>
      <c r="I169" s="37"/>
      <c r="J169" s="55" t="s">
        <v>873</v>
      </c>
      <c r="K169" s="111"/>
      <c r="L169" s="111">
        <f t="shared" ref="L169:P169" si="58">D155*$C$29</f>
        <v>0</v>
      </c>
      <c r="M169" s="111">
        <f t="shared" si="58"/>
        <v>0</v>
      </c>
      <c r="N169" s="111">
        <f t="shared" si="58"/>
        <v>0</v>
      </c>
      <c r="O169" s="111">
        <f t="shared" si="58"/>
        <v>0</v>
      </c>
      <c r="P169" s="111">
        <f t="shared" si="58"/>
        <v>0</v>
      </c>
    </row>
    <row r="170" ht="16.5" customHeight="1">
      <c r="B170" s="55" t="s">
        <v>874</v>
      </c>
      <c r="C170" s="80"/>
      <c r="D170" s="80">
        <f t="shared" ref="D170:H170" si="59">MIN(D156,$C$32*D$112)</f>
        <v>0</v>
      </c>
      <c r="E170" s="80">
        <f t="shared" si="59"/>
        <v>0</v>
      </c>
      <c r="F170" s="80">
        <f t="shared" si="59"/>
        <v>0</v>
      </c>
      <c r="G170" s="80">
        <f t="shared" si="59"/>
        <v>2210.068125</v>
      </c>
      <c r="H170" s="80">
        <f t="shared" si="59"/>
        <v>3065.04</v>
      </c>
      <c r="I170" s="37"/>
      <c r="J170" s="55" t="s">
        <v>874</v>
      </c>
      <c r="K170" s="111"/>
      <c r="L170" s="111">
        <f t="shared" ref="L170:P170" si="60">D156*$C$29</f>
        <v>0</v>
      </c>
      <c r="M170" s="111">
        <f t="shared" si="60"/>
        <v>0</v>
      </c>
      <c r="N170" s="111">
        <f t="shared" si="60"/>
        <v>0</v>
      </c>
      <c r="O170" s="111">
        <f t="shared" si="60"/>
        <v>32709.00825</v>
      </c>
      <c r="P170" s="111">
        <f t="shared" si="60"/>
        <v>65418.0165</v>
      </c>
    </row>
    <row r="171" ht="16.5" customHeight="1">
      <c r="B171" s="73" t="s">
        <v>875</v>
      </c>
      <c r="C171" s="80"/>
      <c r="D171" s="80">
        <f t="shared" ref="D171:H171" si="61">MIN(D157,$C$32*D$112)</f>
        <v>0</v>
      </c>
      <c r="E171" s="80">
        <f t="shared" si="61"/>
        <v>0</v>
      </c>
      <c r="F171" s="80">
        <f t="shared" si="61"/>
        <v>0</v>
      </c>
      <c r="G171" s="80">
        <f t="shared" si="61"/>
        <v>1105.034063</v>
      </c>
      <c r="H171" s="80">
        <f t="shared" si="61"/>
        <v>2210.068125</v>
      </c>
      <c r="I171" s="37"/>
      <c r="J171" s="73" t="s">
        <v>875</v>
      </c>
      <c r="K171" s="111"/>
      <c r="L171" s="111">
        <f t="shared" ref="L171:P171" si="62">D157*$C$29</f>
        <v>0</v>
      </c>
      <c r="M171" s="111">
        <f t="shared" si="62"/>
        <v>0</v>
      </c>
      <c r="N171" s="111">
        <f t="shared" si="62"/>
        <v>0</v>
      </c>
      <c r="O171" s="111">
        <f t="shared" si="62"/>
        <v>16354.50413</v>
      </c>
      <c r="P171" s="111">
        <f t="shared" si="62"/>
        <v>32709.00825</v>
      </c>
    </row>
    <row r="172" ht="14.25" customHeight="1"/>
    <row r="173" ht="19.5" customHeight="1">
      <c r="B173" s="286" t="s">
        <v>1616</v>
      </c>
      <c r="C173" s="39"/>
      <c r="D173" s="39"/>
      <c r="E173" s="39"/>
      <c r="F173" s="39"/>
      <c r="G173" s="39"/>
      <c r="H173" s="40"/>
      <c r="I173" s="37"/>
      <c r="J173" s="301" t="s">
        <v>1617</v>
      </c>
      <c r="K173" s="39"/>
      <c r="L173" s="39"/>
      <c r="M173" s="39"/>
      <c r="N173" s="39"/>
      <c r="O173" s="39"/>
      <c r="P173" s="40"/>
    </row>
    <row r="174" ht="18.0" customHeight="1">
      <c r="B174" s="124" t="s">
        <v>684</v>
      </c>
      <c r="C174" s="51" t="s">
        <v>164</v>
      </c>
      <c r="D174" s="51" t="s">
        <v>165</v>
      </c>
      <c r="E174" s="51" t="s">
        <v>166</v>
      </c>
      <c r="F174" s="51" t="s">
        <v>167</v>
      </c>
      <c r="G174" s="51" t="s">
        <v>168</v>
      </c>
      <c r="H174" s="51" t="s">
        <v>169</v>
      </c>
      <c r="I174" s="37"/>
      <c r="J174" s="302" t="s">
        <v>684</v>
      </c>
      <c r="K174" s="303" t="s">
        <v>164</v>
      </c>
      <c r="L174" s="303" t="s">
        <v>165</v>
      </c>
      <c r="M174" s="303" t="s">
        <v>166</v>
      </c>
      <c r="N174" s="303" t="s">
        <v>167</v>
      </c>
      <c r="O174" s="303" t="s">
        <v>168</v>
      </c>
      <c r="P174" s="303" t="s">
        <v>169</v>
      </c>
    </row>
    <row r="175" ht="16.5" customHeight="1">
      <c r="B175" s="55" t="s">
        <v>872</v>
      </c>
      <c r="C175" s="80"/>
      <c r="D175" s="80">
        <f>L133*D147*'Task 3_P&amp;L'!$N$44</f>
        <v>6882.534247</v>
      </c>
      <c r="E175" s="80">
        <f>M133*E147*'Task 3_P&amp;L'!$N$44</f>
        <v>14992.275</v>
      </c>
      <c r="F175" s="80">
        <f>N133*F147*'Task 3_P&amp;L'!$N$44</f>
        <v>24987.125</v>
      </c>
      <c r="G175" s="80">
        <f>O133*G147*'Task 3_P&amp;L'!$N$44</f>
        <v>22116.26657</v>
      </c>
      <c r="H175" s="80">
        <f>P133*H147*'Task 3_P&amp;L'!$N$44</f>
        <v>17693.01326</v>
      </c>
      <c r="I175" s="37"/>
      <c r="J175" s="22" t="s">
        <v>872</v>
      </c>
      <c r="K175" s="169"/>
      <c r="L175" s="169">
        <f>(L133*D147*('Task 3_P&amp;L'!$N$43-'Task 3_P&amp;L'!$N$42)+D175*'Task 3_P&amp;L'!$C$87+(D175-L133*D147/'ESG_CAPEX OPEX'!$B$7)*'Task 3_P&amp;L'!$C$88)/'Task 3_P&amp;L'!$C$83</f>
        <v>206448.1064</v>
      </c>
      <c r="M175" s="169">
        <f>(M133*E147*('Task 3_P&amp;L'!$N$43-'Task 3_P&amp;L'!$N$42)+E175*'Task 3_P&amp;L'!$C$87+(E175-M133*E147/'ESG_CAPEX OPEX'!$B$7)*'Task 3_P&amp;L'!$C$88)/'Task 3_P&amp;L'!$C$83</f>
        <v>449707.4294</v>
      </c>
      <c r="N175" s="169">
        <f>(N133*F147*('Task 3_P&amp;L'!$N$43-'Task 3_P&amp;L'!$N$42)+F175*'Task 3_P&amp;L'!$C$87+(F175-N133*F147/'ESG_CAPEX OPEX'!$B$7)*'Task 3_P&amp;L'!$C$88)/'Task 3_P&amp;L'!$C$83</f>
        <v>749512.3824</v>
      </c>
      <c r="O175" s="169">
        <f>(O133*G147*('Task 3_P&amp;L'!$N$43-'Task 3_P&amp;L'!$N$42)+G175*'Task 3_P&amp;L'!$C$87+(G175-O133*G147/'ESG_CAPEX OPEX'!$B$7)*'Task 3_P&amp;L'!$C$88)/'Task 3_P&amp;L'!$C$83</f>
        <v>663398.276</v>
      </c>
      <c r="P175" s="169">
        <f>(P133*H147*('Task 3_P&amp;L'!$N$43-'Task 3_P&amp;L'!$N$42)+H175*'Task 3_P&amp;L'!$C$87+(H175-P133*H147/'ESG_CAPEX OPEX'!$B$7)*'Task 3_P&amp;L'!$C$88)/'Task 3_P&amp;L'!$C$83</f>
        <v>530718.6208</v>
      </c>
    </row>
    <row r="176" ht="16.5" customHeight="1">
      <c r="B176" s="55" t="s">
        <v>873</v>
      </c>
      <c r="C176" s="80"/>
      <c r="D176" s="80">
        <f>L134*D148*'Task 3_P&amp;L'!$N$44</f>
        <v>6882.534247</v>
      </c>
      <c r="E176" s="80">
        <f>M134*E148*'Task 3_P&amp;L'!$N$44</f>
        <v>14992.275</v>
      </c>
      <c r="F176" s="80">
        <f>N134*F148*'Task 3_P&amp;L'!$N$44</f>
        <v>24987.125</v>
      </c>
      <c r="G176" s="80">
        <f>O134*G148*'Task 3_P&amp;L'!$N$44</f>
        <v>26548.82031</v>
      </c>
      <c r="H176" s="80">
        <f>P134*H148*'Task 3_P&amp;L'!$N$44</f>
        <v>28110.51563</v>
      </c>
      <c r="I176" s="37"/>
      <c r="J176" s="22" t="s">
        <v>873</v>
      </c>
      <c r="K176" s="169"/>
      <c r="L176" s="169">
        <f>(L134*D148*('Task 3_P&amp;L'!$N$43-'Task 3_P&amp;L'!$N$42)+D176*'Task 3_P&amp;L'!$C$87+(D176-L134*D148/'ESG_CAPEX OPEX'!$B$7)*'Task 3_P&amp;L'!$C$88)/'Task 3_P&amp;L'!$C$83</f>
        <v>206448.1064</v>
      </c>
      <c r="M176" s="169">
        <f>(M134*E148*('Task 3_P&amp;L'!$N$43-'Task 3_P&amp;L'!$N$42)+E176*'Task 3_P&amp;L'!$C$87+(E176-M134*E148/'ESG_CAPEX OPEX'!$B$7)*'Task 3_P&amp;L'!$C$88)/'Task 3_P&amp;L'!$C$83</f>
        <v>449707.4294</v>
      </c>
      <c r="N176" s="169">
        <f>(N134*F148*('Task 3_P&amp;L'!$N$43-'Task 3_P&amp;L'!$N$42)+F176*'Task 3_P&amp;L'!$C$87+(F176-N134*F148/'ESG_CAPEX OPEX'!$B$7)*'Task 3_P&amp;L'!$C$88)/'Task 3_P&amp;L'!$C$83</f>
        <v>749512.3824</v>
      </c>
      <c r="O176" s="169">
        <f>(O134*G148*('Task 3_P&amp;L'!$N$43-'Task 3_P&amp;L'!$N$42)+G176*'Task 3_P&amp;L'!$C$87+(G176-O134*G148/'ESG_CAPEX OPEX'!$B$7)*'Task 3_P&amp;L'!$C$88)/'Task 3_P&amp;L'!$C$83</f>
        <v>796356.9063</v>
      </c>
      <c r="P176" s="169">
        <f>(P134*H148*('Task 3_P&amp;L'!$N$43-'Task 3_P&amp;L'!$N$42)+H176*'Task 3_P&amp;L'!$C$87+(H176-P134*H148/'ESG_CAPEX OPEX'!$B$7)*'Task 3_P&amp;L'!$C$88)/'Task 3_P&amp;L'!$C$83</f>
        <v>843201.4301</v>
      </c>
    </row>
    <row r="177" ht="16.5" customHeight="1">
      <c r="B177" s="55" t="s">
        <v>874</v>
      </c>
      <c r="C177" s="80"/>
      <c r="D177" s="80">
        <f>L135*D149*'Task 3_P&amp;L'!$N$44</f>
        <v>6882.534247</v>
      </c>
      <c r="E177" s="80">
        <f>M135*E149*'Task 3_P&amp;L'!$N$44</f>
        <v>14992.275</v>
      </c>
      <c r="F177" s="80">
        <f>N135*F149*'Task 3_P&amp;L'!$N$44</f>
        <v>24987.125</v>
      </c>
      <c r="G177" s="80">
        <f>O135*G149*'Task 3_P&amp;L'!$N$44</f>
        <v>24987.125</v>
      </c>
      <c r="H177" s="80">
        <f>P135*H149*'Task 3_P&amp;L'!$N$44</f>
        <v>24987.125</v>
      </c>
      <c r="I177" s="37"/>
      <c r="J177" s="22" t="s">
        <v>874</v>
      </c>
      <c r="K177" s="169"/>
      <c r="L177" s="169">
        <f>(L135*D149*('Task 3_P&amp;L'!$N$43-'Task 3_P&amp;L'!$N$42)+D177*'Task 3_P&amp;L'!$C$87+(D177-L135*D149/'ESG_CAPEX OPEX'!$B$7)*'Task 3_P&amp;L'!$C$88)/'Task 3_P&amp;L'!$C$83</f>
        <v>206448.1064</v>
      </c>
      <c r="M177" s="169">
        <f>(M135*E149*('Task 3_P&amp;L'!$N$43-'Task 3_P&amp;L'!$N$42)+E177*'Task 3_P&amp;L'!$C$87+(E177-M135*E149/'ESG_CAPEX OPEX'!$B$7)*'Task 3_P&amp;L'!$C$88)/'Task 3_P&amp;L'!$C$83</f>
        <v>449707.4294</v>
      </c>
      <c r="N177" s="169">
        <f>(N135*F149*('Task 3_P&amp;L'!$N$43-'Task 3_P&amp;L'!$N$42)+F177*'Task 3_P&amp;L'!$C$87+(F177-N135*F149/'ESG_CAPEX OPEX'!$B$7)*'Task 3_P&amp;L'!$C$88)/'Task 3_P&amp;L'!$C$83</f>
        <v>749512.3824</v>
      </c>
      <c r="O177" s="169">
        <f>(O135*G149*('Task 3_P&amp;L'!$N$43-'Task 3_P&amp;L'!$N$42)+G177*'Task 3_P&amp;L'!$C$87+(G177-O135*G149/'ESG_CAPEX OPEX'!$B$7)*'Task 3_P&amp;L'!$C$88)/'Task 3_P&amp;L'!$C$83</f>
        <v>749512.3824</v>
      </c>
      <c r="P177" s="169">
        <f>(P135*H149*('Task 3_P&amp;L'!$N$43-'Task 3_P&amp;L'!$N$42)+H177*'Task 3_P&amp;L'!$C$87+(H177-P135*H149/'ESG_CAPEX OPEX'!$B$7)*'Task 3_P&amp;L'!$C$88)/'Task 3_P&amp;L'!$C$83</f>
        <v>749512.3824</v>
      </c>
    </row>
    <row r="178" ht="16.5" customHeight="1">
      <c r="B178" s="73" t="s">
        <v>875</v>
      </c>
      <c r="C178" s="80"/>
      <c r="D178" s="80">
        <f>L136*D150*'Task 3_P&amp;L'!$N$44</f>
        <v>6882.534247</v>
      </c>
      <c r="E178" s="80">
        <f>M136*E150*'Task 3_P&amp;L'!$N$44</f>
        <v>14992.275</v>
      </c>
      <c r="F178" s="80">
        <f>N136*F150*'Task 3_P&amp;L'!$N$44</f>
        <v>24987.125</v>
      </c>
      <c r="G178" s="80">
        <f>O136*G150*'Task 3_P&amp;L'!$N$44</f>
        <v>25767.97266</v>
      </c>
      <c r="H178" s="80">
        <f>P136*H150*'Task 3_P&amp;L'!$N$44</f>
        <v>26548.82031</v>
      </c>
      <c r="I178" s="37"/>
      <c r="J178" s="31" t="s">
        <v>875</v>
      </c>
      <c r="K178" s="169"/>
      <c r="L178" s="169">
        <f>(L136*D150*('Task 3_P&amp;L'!$N$43-'Task 3_P&amp;L'!$N$42)+D178*'Task 3_P&amp;L'!$C$87+(D178-L136*D150/'ESG_CAPEX OPEX'!$B$7)*'Task 3_P&amp;L'!$C$88)/'Task 3_P&amp;L'!$C$83</f>
        <v>206448.1064</v>
      </c>
      <c r="M178" s="169">
        <f>(M136*E150*('Task 3_P&amp;L'!$N$43-'Task 3_P&amp;L'!$N$42)+E178*'Task 3_P&amp;L'!$C$87+(E178-M136*E150/'ESG_CAPEX OPEX'!$B$7)*'Task 3_P&amp;L'!$C$88)/'Task 3_P&amp;L'!$C$83</f>
        <v>449707.4294</v>
      </c>
      <c r="N178" s="169">
        <f>(N136*F150*('Task 3_P&amp;L'!$N$43-'Task 3_P&amp;L'!$N$42)+F178*'Task 3_P&amp;L'!$C$87+(F178-N136*F150/'ESG_CAPEX OPEX'!$B$7)*'Task 3_P&amp;L'!$C$88)/'Task 3_P&amp;L'!$C$83</f>
        <v>749512.3824</v>
      </c>
      <c r="O178" s="169">
        <f>(O136*G150*('Task 3_P&amp;L'!$N$43-'Task 3_P&amp;L'!$N$42)+G178*'Task 3_P&amp;L'!$C$87+(G178-O136*G150/'ESG_CAPEX OPEX'!$B$7)*'Task 3_P&amp;L'!$C$88)/'Task 3_P&amp;L'!$C$83</f>
        <v>772934.6443</v>
      </c>
      <c r="P178" s="169">
        <f>(P136*H150*('Task 3_P&amp;L'!$N$43-'Task 3_P&amp;L'!$N$42)+H178*'Task 3_P&amp;L'!$C$87+(H178-P136*H150/'ESG_CAPEX OPEX'!$B$7)*'Task 3_P&amp;L'!$C$88)/'Task 3_P&amp;L'!$C$83</f>
        <v>796356.9063</v>
      </c>
    </row>
    <row r="179" ht="14.25" customHeight="1"/>
    <row r="180" ht="19.5" customHeight="1">
      <c r="B180" s="286" t="s">
        <v>417</v>
      </c>
      <c r="C180" s="39"/>
      <c r="D180" s="39"/>
      <c r="E180" s="39"/>
      <c r="F180" s="39"/>
      <c r="G180" s="39"/>
      <c r="H180" s="40"/>
      <c r="I180" s="37"/>
      <c r="J180" s="286" t="s">
        <v>1618</v>
      </c>
      <c r="K180" s="39"/>
      <c r="L180" s="39"/>
      <c r="M180" s="39"/>
      <c r="N180" s="39"/>
      <c r="O180" s="39"/>
      <c r="P180" s="40"/>
    </row>
    <row r="181" ht="18.0" customHeight="1">
      <c r="B181" s="124" t="s">
        <v>684</v>
      </c>
      <c r="C181" s="51" t="s">
        <v>164</v>
      </c>
      <c r="D181" s="51" t="s">
        <v>165</v>
      </c>
      <c r="E181" s="51" t="s">
        <v>166</v>
      </c>
      <c r="F181" s="51" t="s">
        <v>167</v>
      </c>
      <c r="G181" s="51" t="s">
        <v>168</v>
      </c>
      <c r="H181" s="51" t="s">
        <v>169</v>
      </c>
      <c r="I181" s="37"/>
      <c r="J181" s="124" t="s">
        <v>684</v>
      </c>
      <c r="K181" s="51" t="s">
        <v>164</v>
      </c>
      <c r="L181" s="51" t="s">
        <v>165</v>
      </c>
      <c r="M181" s="51" t="s">
        <v>166</v>
      </c>
      <c r="N181" s="51" t="s">
        <v>167</v>
      </c>
      <c r="O181" s="51" t="s">
        <v>168</v>
      </c>
      <c r="P181" s="51" t="s">
        <v>169</v>
      </c>
    </row>
    <row r="182" ht="16.5" customHeight="1">
      <c r="B182" s="55" t="s">
        <v>872</v>
      </c>
      <c r="C182" s="80"/>
      <c r="D182" s="80">
        <f>IF(D133=0,0,ROUNDUP('Task 3_P&amp;L'!$C$89*D175/D133/'Task 3_P&amp;L'!$N$46,0))</f>
        <v>2</v>
      </c>
      <c r="E182" s="80">
        <f>IF(E133=0,0,ROUNDUP('Task 3_P&amp;L'!$C$89*E175/E133/'Task 3_P&amp;L'!$N$46,0))</f>
        <v>3</v>
      </c>
      <c r="F182" s="80">
        <f>IF(F133=0,0,ROUNDUP('Task 3_P&amp;L'!$C$89*F175/F133/'Task 3_P&amp;L'!$N$46,0))</f>
        <v>5</v>
      </c>
      <c r="G182" s="80">
        <f>IF(G133=0,0,ROUNDUP('Task 3_P&amp;L'!$C$89*G175/G133/'Task 3_P&amp;L'!$N$46,0))</f>
        <v>4</v>
      </c>
      <c r="H182" s="80">
        <f>IF(H133=0,0,ROUNDUP('Task 3_P&amp;L'!$C$89*H175/H133/'Task 3_P&amp;L'!$N$46,0))</f>
        <v>3</v>
      </c>
      <c r="I182" s="37"/>
      <c r="J182" s="55" t="s">
        <v>872</v>
      </c>
      <c r="K182" s="111"/>
      <c r="L182" s="111">
        <f>IF(D$111&gt;=$C$18,'Task 1_ESG Roadmap'!$C$89,0)+IF(D$111&gt;=$C$18+1,'Task 1_ESG Roadmap'!$C$90,0)</f>
        <v>896500</v>
      </c>
      <c r="M182" s="111">
        <f>IF(E$111&gt;=$C$18,'Task 1_ESG Roadmap'!$C$89,0)+IF(E$111&gt;=$C$18+1,'Task 1_ESG Roadmap'!$C$90,0)</f>
        <v>940500</v>
      </c>
      <c r="N182" s="111">
        <f>IF(F$111&gt;=$C$18,'Task 1_ESG Roadmap'!$C$89,0)+IF(F$111&gt;=$C$18+1,'Task 1_ESG Roadmap'!$C$90,0)</f>
        <v>940500</v>
      </c>
      <c r="O182" s="111">
        <f>IF(G$111&gt;=$C$18,'Task 1_ESG Roadmap'!$C$89,0)+IF(G$111&gt;=$C$18+1,'Task 1_ESG Roadmap'!$C$90,0)</f>
        <v>940500</v>
      </c>
      <c r="P182" s="111">
        <f>IF(H$111&gt;=$C$18,'Task 1_ESG Roadmap'!$C$89,0)+IF(H$111&gt;=$C$18+1,'Task 1_ESG Roadmap'!$C$90,0)</f>
        <v>940500</v>
      </c>
    </row>
    <row r="183" ht="16.5" customHeight="1">
      <c r="B183" s="55" t="s">
        <v>873</v>
      </c>
      <c r="C183" s="80"/>
      <c r="D183" s="80">
        <f>IF(D134=0,0,ROUNDUP('Task 3_P&amp;L'!$C$89*D176/D134/'Task 3_P&amp;L'!$N$46,0))</f>
        <v>2</v>
      </c>
      <c r="E183" s="80">
        <f>IF(E134=0,0,ROUNDUP('Task 3_P&amp;L'!$C$89*E176/E134/'Task 3_P&amp;L'!$N$46,0))</f>
        <v>3</v>
      </c>
      <c r="F183" s="80">
        <f>IF(F134=0,0,ROUNDUP('Task 3_P&amp;L'!$C$89*F176/F134/'Task 3_P&amp;L'!$N$46,0))</f>
        <v>5</v>
      </c>
      <c r="G183" s="80">
        <f>IF(G134=0,0,ROUNDUP('Task 3_P&amp;L'!$C$89*G176/G134/'Task 3_P&amp;L'!$N$46,0))</f>
        <v>5</v>
      </c>
      <c r="H183" s="80">
        <f>IF(H134=0,0,ROUNDUP('Task 3_P&amp;L'!$C$89*H176/H134/'Task 3_P&amp;L'!$N$46,0))</f>
        <v>5</v>
      </c>
      <c r="I183" s="37"/>
      <c r="J183" s="55" t="s">
        <v>873</v>
      </c>
      <c r="K183" s="111"/>
      <c r="L183" s="111">
        <f>IF(D$111&gt;=$C$19,'Task 1_ESG Roadmap'!$C$89,0)+IF(D$111&gt;=$C$19+1,'Task 1_ESG Roadmap'!$C$90,0)</f>
        <v>896500</v>
      </c>
      <c r="M183" s="111">
        <f>IF(E$111&gt;=$C$19,'Task 1_ESG Roadmap'!$C$89,0)+IF(E$111&gt;=$C$19+1,'Task 1_ESG Roadmap'!$C$90,0)</f>
        <v>940500</v>
      </c>
      <c r="N183" s="111">
        <f>IF(F$111&gt;=$C$19,'Task 1_ESG Roadmap'!$C$89,0)+IF(F$111&gt;=$C$19+1,'Task 1_ESG Roadmap'!$C$90,0)</f>
        <v>940500</v>
      </c>
      <c r="O183" s="111">
        <f>IF(G$111&gt;=$C$19,'Task 1_ESG Roadmap'!$C$89,0)+IF(G$111&gt;=$C$19+1,'Task 1_ESG Roadmap'!$C$90,0)</f>
        <v>940500</v>
      </c>
      <c r="P183" s="111">
        <f>IF(H$111&gt;=$C$19,'Task 1_ESG Roadmap'!$C$89,0)+IF(H$111&gt;=$C$19+1,'Task 1_ESG Roadmap'!$C$90,0)</f>
        <v>940500</v>
      </c>
    </row>
    <row r="184" ht="16.5" customHeight="1">
      <c r="B184" s="55" t="s">
        <v>874</v>
      </c>
      <c r="C184" s="80"/>
      <c r="D184" s="80">
        <f>IF(D135=0,0,ROUNDUP('Task 3_P&amp;L'!$C$89*D177/D135/'Task 3_P&amp;L'!$N$46,0))</f>
        <v>2</v>
      </c>
      <c r="E184" s="80">
        <f>IF(E135=0,0,ROUNDUP('Task 3_P&amp;L'!$C$89*E177/E135/'Task 3_P&amp;L'!$N$46,0))</f>
        <v>3</v>
      </c>
      <c r="F184" s="80">
        <f>IF(F135=0,0,ROUNDUP('Task 3_P&amp;L'!$C$89*F177/F135/'Task 3_P&amp;L'!$N$46,0))</f>
        <v>5</v>
      </c>
      <c r="G184" s="80">
        <f>IF(G135=0,0,ROUNDUP('Task 3_P&amp;L'!$C$89*G177/G135/'Task 3_P&amp;L'!$N$46,0))</f>
        <v>5</v>
      </c>
      <c r="H184" s="80">
        <f>IF(H135=0,0,ROUNDUP('Task 3_P&amp;L'!$C$89*H177/H135/'Task 3_P&amp;L'!$N$46,0))</f>
        <v>5</v>
      </c>
      <c r="I184" s="37"/>
      <c r="J184" s="55" t="s">
        <v>874</v>
      </c>
      <c r="K184" s="111"/>
      <c r="L184" s="111">
        <f>IF(D$111&gt;=$C$20,'Task 1_ESG Roadmap'!$C$89,0)+IF(D$111&gt;=$C$20+1,'Task 1_ESG Roadmap'!$C$90,0)</f>
        <v>896500</v>
      </c>
      <c r="M184" s="111">
        <f>IF(E$111&gt;=$C$20,'Task 1_ESG Roadmap'!$C$89,0)+IF(E$111&gt;=$C$20+1,'Task 1_ESG Roadmap'!$C$90,0)</f>
        <v>940500</v>
      </c>
      <c r="N184" s="111">
        <f>IF(F$111&gt;=$C$20,'Task 1_ESG Roadmap'!$C$89,0)+IF(F$111&gt;=$C$20+1,'Task 1_ESG Roadmap'!$C$90,0)</f>
        <v>940500</v>
      </c>
      <c r="O184" s="111">
        <f>IF(G$111&gt;=$C$20,'Task 1_ESG Roadmap'!$C$89,0)+IF(G$111&gt;=$C$20+1,'Task 1_ESG Roadmap'!$C$90,0)</f>
        <v>940500</v>
      </c>
      <c r="P184" s="111">
        <f>IF(H$111&gt;=$C$20,'Task 1_ESG Roadmap'!$C$89,0)+IF(H$111&gt;=$C$20+1,'Task 1_ESG Roadmap'!$C$90,0)</f>
        <v>940500</v>
      </c>
    </row>
    <row r="185" ht="16.5" customHeight="1">
      <c r="B185" s="73" t="s">
        <v>875</v>
      </c>
      <c r="C185" s="80"/>
      <c r="D185" s="80">
        <f>IF(D136=0,0,ROUNDUP('Task 3_P&amp;L'!$C$89*D178/D136/'Task 3_P&amp;L'!$N$46,0))</f>
        <v>2</v>
      </c>
      <c r="E185" s="80">
        <f>IF(E136=0,0,ROUNDUP('Task 3_P&amp;L'!$C$89*E178/E136/'Task 3_P&amp;L'!$N$46,0))</f>
        <v>3</v>
      </c>
      <c r="F185" s="80">
        <f>IF(F136=0,0,ROUNDUP('Task 3_P&amp;L'!$C$89*F178/F136/'Task 3_P&amp;L'!$N$46,0))</f>
        <v>5</v>
      </c>
      <c r="G185" s="80">
        <f>IF(G136=0,0,ROUNDUP('Task 3_P&amp;L'!$C$89*G178/G136/'Task 3_P&amp;L'!$N$46,0))</f>
        <v>5</v>
      </c>
      <c r="H185" s="80">
        <f>IF(H136=0,0,ROUNDUP('Task 3_P&amp;L'!$C$89*H178/H136/'Task 3_P&amp;L'!$N$46,0))</f>
        <v>5</v>
      </c>
      <c r="I185" s="37"/>
      <c r="J185" s="73" t="s">
        <v>875</v>
      </c>
      <c r="K185" s="111"/>
      <c r="L185" s="111">
        <f>IF(D$111&gt;=$C$21,'Task 1_ESG Roadmap'!$C$89,0)+IF(D$111&gt;=$C$21+1,'Task 1_ESG Roadmap'!$C$90,0)</f>
        <v>896500</v>
      </c>
      <c r="M185" s="111">
        <f>IF(E$111&gt;=$C$21,'Task 1_ESG Roadmap'!$C$89,0)+IF(E$111&gt;=$C$21+1,'Task 1_ESG Roadmap'!$C$90,0)</f>
        <v>940500</v>
      </c>
      <c r="N185" s="111">
        <f>IF(F$111&gt;=$C$21,'Task 1_ESG Roadmap'!$C$89,0)+IF(F$111&gt;=$C$21+1,'Task 1_ESG Roadmap'!$C$90,0)</f>
        <v>940500</v>
      </c>
      <c r="O185" s="111">
        <f>IF(G$111&gt;=$C$21,'Task 1_ESG Roadmap'!$C$89,0)+IF(G$111&gt;=$C$21+1,'Task 1_ESG Roadmap'!$C$90,0)</f>
        <v>940500</v>
      </c>
      <c r="P185" s="111">
        <f>IF(H$111&gt;=$C$21,'Task 1_ESG Roadmap'!$C$89,0)+IF(H$111&gt;=$C$21+1,'Task 1_ESG Roadmap'!$C$90,0)</f>
        <v>940500</v>
      </c>
    </row>
    <row r="186" ht="14.25" customHeight="1"/>
    <row r="187" ht="19.5" customHeight="1">
      <c r="B187" s="286" t="s">
        <v>1619</v>
      </c>
      <c r="C187" s="39"/>
      <c r="D187" s="39"/>
      <c r="E187" s="39"/>
      <c r="F187" s="39"/>
      <c r="G187" s="39"/>
      <c r="H187" s="40"/>
      <c r="I187" s="37"/>
      <c r="J187" s="286" t="s">
        <v>1620</v>
      </c>
      <c r="K187" s="39"/>
      <c r="L187" s="39"/>
      <c r="M187" s="39"/>
      <c r="N187" s="39"/>
      <c r="O187" s="39"/>
      <c r="P187" s="40"/>
    </row>
    <row r="188" ht="18.0" customHeight="1">
      <c r="B188" s="124" t="s">
        <v>684</v>
      </c>
      <c r="C188" s="51" t="s">
        <v>164</v>
      </c>
      <c r="D188" s="51" t="s">
        <v>165</v>
      </c>
      <c r="E188" s="51" t="s">
        <v>166</v>
      </c>
      <c r="F188" s="51" t="s">
        <v>167</v>
      </c>
      <c r="G188" s="51" t="s">
        <v>168</v>
      </c>
      <c r="H188" s="51" t="s">
        <v>169</v>
      </c>
      <c r="I188" s="37"/>
      <c r="J188" s="124" t="s">
        <v>684</v>
      </c>
      <c r="K188" s="51" t="s">
        <v>164</v>
      </c>
      <c r="L188" s="51" t="s">
        <v>165</v>
      </c>
      <c r="M188" s="51" t="s">
        <v>166</v>
      </c>
      <c r="N188" s="51" t="s">
        <v>167</v>
      </c>
      <c r="O188" s="51" t="s">
        <v>168</v>
      </c>
      <c r="P188" s="51" t="s">
        <v>169</v>
      </c>
    </row>
    <row r="189" ht="16.5" customHeight="1">
      <c r="B189" s="55" t="s">
        <v>872</v>
      </c>
      <c r="C189" s="111"/>
      <c r="D189" s="111">
        <f>(D182*'Task 3_P&amp;L'!$N$45*D133+IF(D133=0,0,(L182*'Task 3_P&amp;L'!$C$90*'Task 3_P&amp;L'!$C$83-'Task 3_P&amp;L'!$C$91)*D133)+IF(D$111&gt;=$C$18,'Task 3_P&amp;L'!$C$92+'Task 3_P&amp;L'!$C$94,0)+'Task 3_P&amp;L'!$C$93*D133)/'Task 3_P&amp;L'!$C$83</f>
        <v>25132.16828</v>
      </c>
      <c r="E189" s="111">
        <f>(E182*'Task 3_P&amp;L'!$N$45*E133+IF(E133=0,0,(M182*'Task 3_P&amp;L'!$C$90*'Task 3_P&amp;L'!$C$83-'Task 3_P&amp;L'!$C$91)*E133)+IF(E$111&gt;=$C$18,'Task 3_P&amp;L'!$C$92+'Task 3_P&amp;L'!$C$94,0)+'Task 3_P&amp;L'!$C$93*E133)/'Task 3_P&amp;L'!$C$83</f>
        <v>38022.30392</v>
      </c>
      <c r="F189" s="111">
        <f>(F182*'Task 3_P&amp;L'!$N$45*F133+IF(F133=0,0,(N182*'Task 3_P&amp;L'!$C$90*'Task 3_P&amp;L'!$C$83-'Task 3_P&amp;L'!$C$91)*F133)+IF(F$111&gt;=$C$18,'Task 3_P&amp;L'!$C$92+'Task 3_P&amp;L'!$C$94,0)+'Task 3_P&amp;L'!$C$93*F133)/'Task 3_P&amp;L'!$C$83</f>
        <v>49002.69608</v>
      </c>
      <c r="G189" s="111">
        <f>(G182*'Task 3_P&amp;L'!$N$45*G133+IF(G133=0,0,(O182*'Task 3_P&amp;L'!$C$90*'Task 3_P&amp;L'!$C$83-'Task 3_P&amp;L'!$C$91)*G133)+IF(G$111&gt;=$C$18,'Task 3_P&amp;L'!$C$92+'Task 3_P&amp;L'!$C$94,0)+'Task 3_P&amp;L'!$C$93*G133)/'Task 3_P&amp;L'!$C$83</f>
        <v>43512.5</v>
      </c>
      <c r="H189" s="111">
        <f>(H182*'Task 3_P&amp;L'!$N$45*H133+IF(H133=0,0,(P182*'Task 3_P&amp;L'!$C$90*'Task 3_P&amp;L'!$C$83-'Task 3_P&amp;L'!$C$91)*H133)+IF(H$111&gt;=$C$18,'Task 3_P&amp;L'!$C$92+'Task 3_P&amp;L'!$C$94,0)+'Task 3_P&amp;L'!$C$93*H133)/'Task 3_P&amp;L'!$C$83</f>
        <v>38022.30392</v>
      </c>
      <c r="I189" s="37"/>
      <c r="J189" s="55" t="s">
        <v>872</v>
      </c>
      <c r="K189" s="111"/>
      <c r="L189" s="111">
        <f t="shared" ref="L189:P189" si="63">L175+D189</f>
        <v>231580.2746</v>
      </c>
      <c r="M189" s="111">
        <f t="shared" si="63"/>
        <v>487729.7333</v>
      </c>
      <c r="N189" s="111">
        <f t="shared" si="63"/>
        <v>798515.0784</v>
      </c>
      <c r="O189" s="111">
        <f t="shared" si="63"/>
        <v>706910.776</v>
      </c>
      <c r="P189" s="111">
        <f t="shared" si="63"/>
        <v>568740.9247</v>
      </c>
    </row>
    <row r="190" ht="16.5" customHeight="1">
      <c r="B190" s="55" t="s">
        <v>873</v>
      </c>
      <c r="C190" s="111"/>
      <c r="D190" s="111">
        <f>(D183*'Task 3_P&amp;L'!$N$45*D134+IF(D134=0,0,(L183*'Task 3_P&amp;L'!$C$90*'Task 3_P&amp;L'!$C$83-'Task 3_P&amp;L'!$C$91)*D134)+IF(D$111&gt;=$C$19,'Task 3_P&amp;L'!$C$92+'Task 3_P&amp;L'!$C$94,0)+'Task 3_P&amp;L'!$C$93*D134)/'Task 3_P&amp;L'!$C$83</f>
        <v>25132.16828</v>
      </c>
      <c r="E190" s="111">
        <f>(E183*'Task 3_P&amp;L'!$N$45*E134+IF(E134=0,0,(M183*'Task 3_P&amp;L'!$C$90*'Task 3_P&amp;L'!$C$83-'Task 3_P&amp;L'!$C$91)*E134)+IF(E$111&gt;=$C$19,'Task 3_P&amp;L'!$C$92+'Task 3_P&amp;L'!$C$94,0)+'Task 3_P&amp;L'!$C$93*E134)/'Task 3_P&amp;L'!$C$83</f>
        <v>38022.30392</v>
      </c>
      <c r="F190" s="111">
        <f>(F183*'Task 3_P&amp;L'!$N$45*F134+IF(F134=0,0,(N183*'Task 3_P&amp;L'!$C$90*'Task 3_P&amp;L'!$C$83-'Task 3_P&amp;L'!$C$91)*F134)+IF(F$111&gt;=$C$19,'Task 3_P&amp;L'!$C$92+'Task 3_P&amp;L'!$C$94,0)+'Task 3_P&amp;L'!$C$93*F134)/'Task 3_P&amp;L'!$C$83</f>
        <v>49002.69608</v>
      </c>
      <c r="G190" s="111">
        <f>(G183*'Task 3_P&amp;L'!$N$45*G134+IF(G134=0,0,(O183*'Task 3_P&amp;L'!$C$90*'Task 3_P&amp;L'!$C$83-'Task 3_P&amp;L'!$C$91)*G134)+IF(G$111&gt;=$C$19,'Task 3_P&amp;L'!$C$92+'Task 3_P&amp;L'!$C$94,0)+'Task 3_P&amp;L'!$C$93*G134)/'Task 3_P&amp;L'!$C$83</f>
        <v>49002.69608</v>
      </c>
      <c r="H190" s="111">
        <f>(H183*'Task 3_P&amp;L'!$N$45*H134+IF(H134=0,0,(P183*'Task 3_P&amp;L'!$C$90*'Task 3_P&amp;L'!$C$83-'Task 3_P&amp;L'!$C$91)*H134)+IF(H$111&gt;=$C$19,'Task 3_P&amp;L'!$C$92+'Task 3_P&amp;L'!$C$94,0)+'Task 3_P&amp;L'!$C$93*H134)/'Task 3_P&amp;L'!$C$83</f>
        <v>49002.69608</v>
      </c>
      <c r="I190" s="37"/>
      <c r="J190" s="55" t="s">
        <v>873</v>
      </c>
      <c r="K190" s="111"/>
      <c r="L190" s="111">
        <f t="shared" ref="L190:P190" si="64">L176+D190</f>
        <v>231580.2746</v>
      </c>
      <c r="M190" s="111">
        <f t="shared" si="64"/>
        <v>487729.7333</v>
      </c>
      <c r="N190" s="111">
        <f t="shared" si="64"/>
        <v>798515.0784</v>
      </c>
      <c r="O190" s="111">
        <f t="shared" si="64"/>
        <v>845359.6023</v>
      </c>
      <c r="P190" s="111">
        <f t="shared" si="64"/>
        <v>892204.1262</v>
      </c>
    </row>
    <row r="191" ht="16.5" customHeight="1">
      <c r="B191" s="55" t="s">
        <v>874</v>
      </c>
      <c r="C191" s="111"/>
      <c r="D191" s="111">
        <f>(D184*'Task 3_P&amp;L'!$N$45*D135+IF(D135=0,0,(L184*'Task 3_P&amp;L'!$C$90*'Task 3_P&amp;L'!$C$83-'Task 3_P&amp;L'!$C$91)*D135)+IF(D$111&gt;=$C$20,'Task 3_P&amp;L'!$C$92+'Task 3_P&amp;L'!$C$94,0)+'Task 3_P&amp;L'!$C$93*D135)/'Task 3_P&amp;L'!$C$83</f>
        <v>25132.16828</v>
      </c>
      <c r="E191" s="111">
        <f>(E184*'Task 3_P&amp;L'!$N$45*E135+IF(E135=0,0,(M184*'Task 3_P&amp;L'!$C$90*'Task 3_P&amp;L'!$C$83-'Task 3_P&amp;L'!$C$91)*E135)+IF(E$111&gt;=$C$20,'Task 3_P&amp;L'!$C$92+'Task 3_P&amp;L'!$C$94,0)+'Task 3_P&amp;L'!$C$93*E135)/'Task 3_P&amp;L'!$C$83</f>
        <v>38022.30392</v>
      </c>
      <c r="F191" s="111">
        <f>(F184*'Task 3_P&amp;L'!$N$45*F135+IF(F135=0,0,(N184*'Task 3_P&amp;L'!$C$90*'Task 3_P&amp;L'!$C$83-'Task 3_P&amp;L'!$C$91)*F135)+IF(F$111&gt;=$C$20,'Task 3_P&amp;L'!$C$92+'Task 3_P&amp;L'!$C$94,0)+'Task 3_P&amp;L'!$C$93*F135)/'Task 3_P&amp;L'!$C$83</f>
        <v>49002.69608</v>
      </c>
      <c r="G191" s="111">
        <f>(G184*'Task 3_P&amp;L'!$N$45*G135+IF(G135=0,0,(O184*'Task 3_P&amp;L'!$C$90*'Task 3_P&amp;L'!$C$83-'Task 3_P&amp;L'!$C$91)*G135)+IF(G$111&gt;=$C$20,'Task 3_P&amp;L'!$C$92+'Task 3_P&amp;L'!$C$94,0)+'Task 3_P&amp;L'!$C$93*G135)/'Task 3_P&amp;L'!$C$83</f>
        <v>49002.69608</v>
      </c>
      <c r="H191" s="111">
        <f>(H184*'Task 3_P&amp;L'!$N$45*H135+IF(H135=0,0,(P184*'Task 3_P&amp;L'!$C$90*'Task 3_P&amp;L'!$C$83-'Task 3_P&amp;L'!$C$91)*H135)+IF(H$111&gt;=$C$20,'Task 3_P&amp;L'!$C$92+'Task 3_P&amp;L'!$C$94,0)+'Task 3_P&amp;L'!$C$93*H135)/'Task 3_P&amp;L'!$C$83</f>
        <v>49002.69608</v>
      </c>
      <c r="I191" s="37"/>
      <c r="J191" s="55" t="s">
        <v>874</v>
      </c>
      <c r="K191" s="111"/>
      <c r="L191" s="111">
        <f t="shared" ref="L191:P191" si="65">L177+D191</f>
        <v>231580.2746</v>
      </c>
      <c r="M191" s="111">
        <f t="shared" si="65"/>
        <v>487729.7333</v>
      </c>
      <c r="N191" s="111">
        <f t="shared" si="65"/>
        <v>798515.0784</v>
      </c>
      <c r="O191" s="111">
        <f t="shared" si="65"/>
        <v>798515.0784</v>
      </c>
      <c r="P191" s="111">
        <f t="shared" si="65"/>
        <v>798515.0784</v>
      </c>
    </row>
    <row r="192" ht="16.5" customHeight="1">
      <c r="B192" s="73" t="s">
        <v>875</v>
      </c>
      <c r="C192" s="111"/>
      <c r="D192" s="111">
        <f>(D185*'Task 3_P&amp;L'!$N$45*D136+IF(D136=0,0,(L185*'Task 3_P&amp;L'!$C$90*'Task 3_P&amp;L'!$C$83-'Task 3_P&amp;L'!$C$91)*D136)+IF(D$111&gt;=$C$21,'Task 3_P&amp;L'!$C$92+'Task 3_P&amp;L'!$C$94,0)+'Task 3_P&amp;L'!$C$93*D136)/'Task 3_P&amp;L'!$C$83</f>
        <v>25132.16828</v>
      </c>
      <c r="E192" s="111">
        <f>(E185*'Task 3_P&amp;L'!$N$45*E136+IF(E136=0,0,(M185*'Task 3_P&amp;L'!$C$90*'Task 3_P&amp;L'!$C$83-'Task 3_P&amp;L'!$C$91)*E136)+IF(E$111&gt;=$C$21,'Task 3_P&amp;L'!$C$92+'Task 3_P&amp;L'!$C$94,0)+'Task 3_P&amp;L'!$C$93*E136)/'Task 3_P&amp;L'!$C$83</f>
        <v>38022.30392</v>
      </c>
      <c r="F192" s="111">
        <f>(F185*'Task 3_P&amp;L'!$N$45*F136+IF(F136=0,0,(N185*'Task 3_P&amp;L'!$C$90*'Task 3_P&amp;L'!$C$83-'Task 3_P&amp;L'!$C$91)*F136)+IF(F$111&gt;=$C$21,'Task 3_P&amp;L'!$C$92+'Task 3_P&amp;L'!$C$94,0)+'Task 3_P&amp;L'!$C$93*F136)/'Task 3_P&amp;L'!$C$83</f>
        <v>49002.69608</v>
      </c>
      <c r="G192" s="111">
        <f>(G185*'Task 3_P&amp;L'!$N$45*G136+IF(G136=0,0,(O185*'Task 3_P&amp;L'!$C$90*'Task 3_P&amp;L'!$C$83-'Task 3_P&amp;L'!$C$91)*G136)+IF(G$111&gt;=$C$21,'Task 3_P&amp;L'!$C$92+'Task 3_P&amp;L'!$C$94,0)+'Task 3_P&amp;L'!$C$93*G136)/'Task 3_P&amp;L'!$C$83</f>
        <v>49002.69608</v>
      </c>
      <c r="H192" s="111">
        <f>(H185*'Task 3_P&amp;L'!$N$45*H136+IF(H136=0,0,(P185*'Task 3_P&amp;L'!$C$90*'Task 3_P&amp;L'!$C$83-'Task 3_P&amp;L'!$C$91)*H136)+IF(H$111&gt;=$C$21,'Task 3_P&amp;L'!$C$92+'Task 3_P&amp;L'!$C$94,0)+'Task 3_P&amp;L'!$C$93*H136)/'Task 3_P&amp;L'!$C$83</f>
        <v>49002.69608</v>
      </c>
      <c r="I192" s="37"/>
      <c r="J192" s="73" t="s">
        <v>875</v>
      </c>
      <c r="K192" s="111"/>
      <c r="L192" s="111">
        <f t="shared" ref="L192:P192" si="66">L178+D192</f>
        <v>231580.2746</v>
      </c>
      <c r="M192" s="111">
        <f t="shared" si="66"/>
        <v>487729.7333</v>
      </c>
      <c r="N192" s="111">
        <f t="shared" si="66"/>
        <v>798515.0784</v>
      </c>
      <c r="O192" s="111">
        <f t="shared" si="66"/>
        <v>821937.3404</v>
      </c>
      <c r="P192" s="111">
        <f t="shared" si="66"/>
        <v>845359.6023</v>
      </c>
    </row>
    <row r="193" ht="14.25" customHeight="1"/>
    <row r="194" ht="19.5" customHeight="1">
      <c r="B194" s="286" t="s">
        <v>1621</v>
      </c>
      <c r="C194" s="39"/>
      <c r="D194" s="39"/>
      <c r="E194" s="39"/>
      <c r="F194" s="39"/>
      <c r="G194" s="39"/>
      <c r="H194" s="40"/>
      <c r="I194" s="37"/>
      <c r="J194" s="286" t="s">
        <v>1622</v>
      </c>
      <c r="K194" s="39"/>
      <c r="L194" s="39"/>
      <c r="M194" s="39"/>
      <c r="N194" s="39"/>
      <c r="O194" s="39"/>
      <c r="P194" s="40"/>
    </row>
    <row r="195" ht="18.0" customHeight="1">
      <c r="B195" s="124" t="s">
        <v>684</v>
      </c>
      <c r="C195" s="51" t="s">
        <v>164</v>
      </c>
      <c r="D195" s="51" t="s">
        <v>165</v>
      </c>
      <c r="E195" s="51" t="s">
        <v>166</v>
      </c>
      <c r="F195" s="51" t="s">
        <v>167</v>
      </c>
      <c r="G195" s="51" t="s">
        <v>168</v>
      </c>
      <c r="H195" s="51" t="s">
        <v>169</v>
      </c>
      <c r="I195" s="37"/>
      <c r="J195" s="124" t="s">
        <v>684</v>
      </c>
      <c r="K195" s="51" t="s">
        <v>164</v>
      </c>
      <c r="L195" s="51" t="s">
        <v>165</v>
      </c>
      <c r="M195" s="51" t="s">
        <v>166</v>
      </c>
      <c r="N195" s="51" t="s">
        <v>167</v>
      </c>
      <c r="O195" s="51" t="s">
        <v>168</v>
      </c>
      <c r="P195" s="51" t="s">
        <v>169</v>
      </c>
    </row>
    <row r="196" ht="16.5" customHeight="1">
      <c r="B196" s="55" t="s">
        <v>872</v>
      </c>
      <c r="C196" s="111"/>
      <c r="D196" s="111">
        <f>IF(AND(D$111&gt;=$C$18,D$111&lt;$C$18+'Task 1_ESG Roadmap'!$C$121),'Task 1_ESG Roadmap'!$C$89/'Task 1_ESG Roadmap'!$C$121,0)+IF(AND(D$111&gt;=$C$18+1,D$111&lt;$C$18+1+'Task 1_ESG Roadmap'!$C$121),'Task 1_ESG Roadmap'!$C$90/'Task 1_ESG Roadmap'!$C$121,0)</f>
        <v>179300</v>
      </c>
      <c r="E196" s="111">
        <f>IF(AND(E$111&gt;=$C$18,E$111&lt;$C$18+'Task 1_ESG Roadmap'!$C$121),'Task 1_ESG Roadmap'!$C$89/'Task 1_ESG Roadmap'!$C$121,0)+IF(AND(E$111&gt;=$C$18+1,E$111&lt;$C$18+1+'Task 1_ESG Roadmap'!$C$121),'Task 1_ESG Roadmap'!$C$90/'Task 1_ESG Roadmap'!$C$121,0)</f>
        <v>188100</v>
      </c>
      <c r="F196" s="111">
        <f>IF(AND(F$111&gt;=$C$18,F$111&lt;$C$18+'Task 1_ESG Roadmap'!$C$121),'Task 1_ESG Roadmap'!$C$89/'Task 1_ESG Roadmap'!$C$121,0)+IF(AND(F$111&gt;=$C$18+1,F$111&lt;$C$18+1+'Task 1_ESG Roadmap'!$C$121),'Task 1_ESG Roadmap'!$C$90/'Task 1_ESG Roadmap'!$C$121,0)</f>
        <v>188100</v>
      </c>
      <c r="G196" s="111">
        <f>IF(AND(G$111&gt;=$C$18,G$111&lt;$C$18+'Task 1_ESG Roadmap'!$C$121),'Task 1_ESG Roadmap'!$C$89/'Task 1_ESG Roadmap'!$C$121,0)+IF(AND(G$111&gt;=$C$18+1,G$111&lt;$C$18+1+'Task 1_ESG Roadmap'!$C$121),'Task 1_ESG Roadmap'!$C$90/'Task 1_ESG Roadmap'!$C$121,0)</f>
        <v>188100</v>
      </c>
      <c r="H196" s="111">
        <f>IF(AND(H$111&gt;=$C$18,H$111&lt;$C$18+'Task 1_ESG Roadmap'!$C$121),'Task 1_ESG Roadmap'!$C$89/'Task 1_ESG Roadmap'!$C$121,0)+IF(AND(H$111&gt;=$C$18+1,H$111&lt;$C$18+1+'Task 1_ESG Roadmap'!$C$121),'Task 1_ESG Roadmap'!$C$90/'Task 1_ESG Roadmap'!$C$121,0)</f>
        <v>188100</v>
      </c>
      <c r="I196" s="37"/>
      <c r="J196" s="55" t="s">
        <v>872</v>
      </c>
      <c r="K196" s="111"/>
      <c r="L196" s="111">
        <f>IF(D$111=$C$18,'Task 1_ESG Roadmap'!$C$89,0)+IF(D$111=$C$18+1,'Task 1_ESG Roadmap'!$C$90,0)</f>
        <v>896500</v>
      </c>
      <c r="M196" s="111">
        <f>IF(E$111=$C$18,'Task 1_ESG Roadmap'!$C$89,0)+IF(E$111=$C$18+1,'Task 1_ESG Roadmap'!$C$90,0)</f>
        <v>44000</v>
      </c>
      <c r="N196" s="111">
        <f>IF(F$111=$C$18,'Task 1_ESG Roadmap'!$C$89,0)+IF(F$111=$C$18+1,'Task 1_ESG Roadmap'!$C$90,0)</f>
        <v>0</v>
      </c>
      <c r="O196" s="111">
        <f>IF(G$111=$C$18,'Task 1_ESG Roadmap'!$C$89,0)+IF(G$111=$C$18+1,'Task 1_ESG Roadmap'!$C$90,0)</f>
        <v>0</v>
      </c>
      <c r="P196" s="111">
        <f>IF(H$111=$C$18,'Task 1_ESG Roadmap'!$C$89,0)+IF(H$111=$C$18+1,'Task 1_ESG Roadmap'!$C$90,0)</f>
        <v>0</v>
      </c>
    </row>
    <row r="197" ht="16.5" customHeight="1">
      <c r="B197" s="55" t="s">
        <v>873</v>
      </c>
      <c r="C197" s="111"/>
      <c r="D197" s="111">
        <f>IF(AND(D$111&gt;=$C$19,D$111&lt;$C$19+'Task 1_ESG Roadmap'!$C$121),'Task 1_ESG Roadmap'!$C$89/'Task 1_ESG Roadmap'!$C$121,0)+IF(AND(D$111&gt;=$C$19+1,D$111&lt;$C$19+1+'Task 1_ESG Roadmap'!$C$121),'Task 1_ESG Roadmap'!$C$90/'Task 1_ESG Roadmap'!$C$121,0)</f>
        <v>179300</v>
      </c>
      <c r="E197" s="111">
        <f>IF(AND(E$111&gt;=$C$19,E$111&lt;$C$19+'Task 1_ESG Roadmap'!$C$121),'Task 1_ESG Roadmap'!$C$89/'Task 1_ESG Roadmap'!$C$121,0)+IF(AND(E$111&gt;=$C$19+1,E$111&lt;$C$19+1+'Task 1_ESG Roadmap'!$C$121),'Task 1_ESG Roadmap'!$C$90/'Task 1_ESG Roadmap'!$C$121,0)</f>
        <v>188100</v>
      </c>
      <c r="F197" s="111">
        <f>IF(AND(F$111&gt;=$C$19,F$111&lt;$C$19+'Task 1_ESG Roadmap'!$C$121),'Task 1_ESG Roadmap'!$C$89/'Task 1_ESG Roadmap'!$C$121,0)+IF(AND(F$111&gt;=$C$19+1,F$111&lt;$C$19+1+'Task 1_ESG Roadmap'!$C$121),'Task 1_ESG Roadmap'!$C$90/'Task 1_ESG Roadmap'!$C$121,0)</f>
        <v>188100</v>
      </c>
      <c r="G197" s="111">
        <f>IF(AND(G$111&gt;=$C$19,G$111&lt;$C$19+'Task 1_ESG Roadmap'!$C$121),'Task 1_ESG Roadmap'!$C$89/'Task 1_ESG Roadmap'!$C$121,0)+IF(AND(G$111&gt;=$C$19+1,G$111&lt;$C$19+1+'Task 1_ESG Roadmap'!$C$121),'Task 1_ESG Roadmap'!$C$90/'Task 1_ESG Roadmap'!$C$121,0)</f>
        <v>188100</v>
      </c>
      <c r="H197" s="111">
        <f>IF(AND(H$111&gt;=$C$19,H$111&lt;$C$19+'Task 1_ESG Roadmap'!$C$121),'Task 1_ESG Roadmap'!$C$89/'Task 1_ESG Roadmap'!$C$121,0)+IF(AND(H$111&gt;=$C$19+1,H$111&lt;$C$19+1+'Task 1_ESG Roadmap'!$C$121),'Task 1_ESG Roadmap'!$C$90/'Task 1_ESG Roadmap'!$C$121,0)</f>
        <v>188100</v>
      </c>
      <c r="I197" s="37"/>
      <c r="J197" s="55" t="s">
        <v>873</v>
      </c>
      <c r="K197" s="111"/>
      <c r="L197" s="111">
        <f>IF(D$111=$C$19,'Task 1_ESG Roadmap'!$C$89,0)+IF(D$111=$C$19+1,'Task 1_ESG Roadmap'!$C$90,0)</f>
        <v>896500</v>
      </c>
      <c r="M197" s="111">
        <f>IF(E$111=$C$19,'Task 1_ESG Roadmap'!$C$89,0)+IF(E$111=$C$19+1,'Task 1_ESG Roadmap'!$C$90,0)</f>
        <v>44000</v>
      </c>
      <c r="N197" s="111">
        <f>IF(F$111=$C$19,'Task 1_ESG Roadmap'!$C$89,0)+IF(F$111=$C$19+1,'Task 1_ESG Roadmap'!$C$90,0)</f>
        <v>0</v>
      </c>
      <c r="O197" s="111">
        <f>IF(G$111=$C$19,'Task 1_ESG Roadmap'!$C$89,0)+IF(G$111=$C$19+1,'Task 1_ESG Roadmap'!$C$90,0)</f>
        <v>0</v>
      </c>
      <c r="P197" s="111">
        <f>IF(H$111=$C$19,'Task 1_ESG Roadmap'!$C$89,0)+IF(H$111=$C$19+1,'Task 1_ESG Roadmap'!$C$90,0)</f>
        <v>0</v>
      </c>
    </row>
    <row r="198" ht="16.5" customHeight="1">
      <c r="B198" s="55" t="s">
        <v>874</v>
      </c>
      <c r="C198" s="111"/>
      <c r="D198" s="111">
        <f>IF(AND(D$111&gt;=$C$20,D$111&lt;$C$20+'Task 1_ESG Roadmap'!$C$121),'Task 1_ESG Roadmap'!$C$89/'Task 1_ESG Roadmap'!$C$121,0)+IF(AND(D$111&gt;=$C$20+1,D$111&lt;$C$20+1+'Task 1_ESG Roadmap'!$C$121),'Task 1_ESG Roadmap'!$C$90/'Task 1_ESG Roadmap'!$C$121,0)</f>
        <v>179300</v>
      </c>
      <c r="E198" s="111">
        <f>IF(AND(E$111&gt;=$C$20,E$111&lt;$C$20+'Task 1_ESG Roadmap'!$C$121),'Task 1_ESG Roadmap'!$C$89/'Task 1_ESG Roadmap'!$C$121,0)+IF(AND(E$111&gt;=$C$20+1,E$111&lt;$C$20+1+'Task 1_ESG Roadmap'!$C$121),'Task 1_ESG Roadmap'!$C$90/'Task 1_ESG Roadmap'!$C$121,0)</f>
        <v>188100</v>
      </c>
      <c r="F198" s="111">
        <f>IF(AND(F$111&gt;=$C$20,F$111&lt;$C$20+'Task 1_ESG Roadmap'!$C$121),'Task 1_ESG Roadmap'!$C$89/'Task 1_ESG Roadmap'!$C$121,0)+IF(AND(F$111&gt;=$C$20+1,F$111&lt;$C$20+1+'Task 1_ESG Roadmap'!$C$121),'Task 1_ESG Roadmap'!$C$90/'Task 1_ESG Roadmap'!$C$121,0)</f>
        <v>188100</v>
      </c>
      <c r="G198" s="111">
        <f>IF(AND(G$111&gt;=$C$20,G$111&lt;$C$20+'Task 1_ESG Roadmap'!$C$121),'Task 1_ESG Roadmap'!$C$89/'Task 1_ESG Roadmap'!$C$121,0)+IF(AND(G$111&gt;=$C$20+1,G$111&lt;$C$20+1+'Task 1_ESG Roadmap'!$C$121),'Task 1_ESG Roadmap'!$C$90/'Task 1_ESG Roadmap'!$C$121,0)</f>
        <v>188100</v>
      </c>
      <c r="H198" s="111">
        <f>IF(AND(H$111&gt;=$C$20,H$111&lt;$C$20+'Task 1_ESG Roadmap'!$C$121),'Task 1_ESG Roadmap'!$C$89/'Task 1_ESG Roadmap'!$C$121,0)+IF(AND(H$111&gt;=$C$20+1,H$111&lt;$C$20+1+'Task 1_ESG Roadmap'!$C$121),'Task 1_ESG Roadmap'!$C$90/'Task 1_ESG Roadmap'!$C$121,0)</f>
        <v>188100</v>
      </c>
      <c r="I198" s="37"/>
      <c r="J198" s="55" t="s">
        <v>874</v>
      </c>
      <c r="K198" s="111"/>
      <c r="L198" s="111">
        <f>IF(D$111=$C$20,'Task 1_ESG Roadmap'!$C$89,0)+IF(D$111=$C$20+1,'Task 1_ESG Roadmap'!$C$90,0)</f>
        <v>896500</v>
      </c>
      <c r="M198" s="111">
        <f>IF(E$111=$C$20,'Task 1_ESG Roadmap'!$C$89,0)+IF(E$111=$C$20+1,'Task 1_ESG Roadmap'!$C$90,0)</f>
        <v>44000</v>
      </c>
      <c r="N198" s="111">
        <f>IF(F$111=$C$20,'Task 1_ESG Roadmap'!$C$89,0)+IF(F$111=$C$20+1,'Task 1_ESG Roadmap'!$C$90,0)</f>
        <v>0</v>
      </c>
      <c r="O198" s="111">
        <f>IF(G$111=$C$20,'Task 1_ESG Roadmap'!$C$89,0)+IF(G$111=$C$20+1,'Task 1_ESG Roadmap'!$C$90,0)</f>
        <v>0</v>
      </c>
      <c r="P198" s="111">
        <f>IF(H$111=$C$20,'Task 1_ESG Roadmap'!$C$89,0)+IF(H$111=$C$20+1,'Task 1_ESG Roadmap'!$C$90,0)</f>
        <v>0</v>
      </c>
    </row>
    <row r="199" ht="16.5" customHeight="1">
      <c r="B199" s="73" t="s">
        <v>875</v>
      </c>
      <c r="C199" s="111"/>
      <c r="D199" s="111">
        <f>IF(AND(D$111&gt;=$C$21,D$111&lt;$C$21+'Task 1_ESG Roadmap'!$C$121),'Task 1_ESG Roadmap'!$C$89/'Task 1_ESG Roadmap'!$C$121,0)+IF(AND(D$111&gt;=$C$21+1,D$111&lt;$C$21+1+'Task 1_ESG Roadmap'!$C$121),'Task 1_ESG Roadmap'!$C$90/'Task 1_ESG Roadmap'!$C$121,0)</f>
        <v>179300</v>
      </c>
      <c r="E199" s="111">
        <f>IF(AND(E$111&gt;=$C$21,E$111&lt;$C$21+'Task 1_ESG Roadmap'!$C$121),'Task 1_ESG Roadmap'!$C$89/'Task 1_ESG Roadmap'!$C$121,0)+IF(AND(E$111&gt;=$C$21+1,E$111&lt;$C$21+1+'Task 1_ESG Roadmap'!$C$121),'Task 1_ESG Roadmap'!$C$90/'Task 1_ESG Roadmap'!$C$121,0)</f>
        <v>188100</v>
      </c>
      <c r="F199" s="111">
        <f>IF(AND(F$111&gt;=$C$21,F$111&lt;$C$21+'Task 1_ESG Roadmap'!$C$121),'Task 1_ESG Roadmap'!$C$89/'Task 1_ESG Roadmap'!$C$121,0)+IF(AND(F$111&gt;=$C$21+1,F$111&lt;$C$21+1+'Task 1_ESG Roadmap'!$C$121),'Task 1_ESG Roadmap'!$C$90/'Task 1_ESG Roadmap'!$C$121,0)</f>
        <v>188100</v>
      </c>
      <c r="G199" s="111">
        <f>IF(AND(G$111&gt;=$C$21,G$111&lt;$C$21+'Task 1_ESG Roadmap'!$C$121),'Task 1_ESG Roadmap'!$C$89/'Task 1_ESG Roadmap'!$C$121,0)+IF(AND(G$111&gt;=$C$21+1,G$111&lt;$C$21+1+'Task 1_ESG Roadmap'!$C$121),'Task 1_ESG Roadmap'!$C$90/'Task 1_ESG Roadmap'!$C$121,0)</f>
        <v>188100</v>
      </c>
      <c r="H199" s="111">
        <f>IF(AND(H$111&gt;=$C$21,H$111&lt;$C$21+'Task 1_ESG Roadmap'!$C$121),'Task 1_ESG Roadmap'!$C$89/'Task 1_ESG Roadmap'!$C$121,0)+IF(AND(H$111&gt;=$C$21+1,H$111&lt;$C$21+1+'Task 1_ESG Roadmap'!$C$121),'Task 1_ESG Roadmap'!$C$90/'Task 1_ESG Roadmap'!$C$121,0)</f>
        <v>188100</v>
      </c>
      <c r="I199" s="37"/>
      <c r="J199" s="73" t="s">
        <v>875</v>
      </c>
      <c r="K199" s="111"/>
      <c r="L199" s="111">
        <f>IF(D$111=$C$21,'Task 1_ESG Roadmap'!$C$89,0)+IF(D$111=$C$21+1,'Task 1_ESG Roadmap'!$C$90,0)</f>
        <v>896500</v>
      </c>
      <c r="M199" s="111">
        <f>IF(E$111=$C$21,'Task 1_ESG Roadmap'!$C$89,0)+IF(E$111=$C$21+1,'Task 1_ESG Roadmap'!$C$90,0)</f>
        <v>44000</v>
      </c>
      <c r="N199" s="111">
        <f>IF(F$111=$C$21,'Task 1_ESG Roadmap'!$C$89,0)+IF(F$111=$C$21+1,'Task 1_ESG Roadmap'!$C$90,0)</f>
        <v>0</v>
      </c>
      <c r="O199" s="111">
        <f>IF(G$111=$C$21,'Task 1_ESG Roadmap'!$C$89,0)+IF(G$111=$C$21+1,'Task 1_ESG Roadmap'!$C$90,0)</f>
        <v>0</v>
      </c>
      <c r="P199" s="111">
        <f>IF(H$111=$C$21,'Task 1_ESG Roadmap'!$C$89,0)+IF(H$111=$C$21+1,'Task 1_ESG Roadmap'!$C$90,0)</f>
        <v>0</v>
      </c>
    </row>
    <row r="200" ht="14.25" customHeight="1"/>
    <row r="201" ht="19.5" customHeight="1">
      <c r="B201" s="286" t="s">
        <v>1623</v>
      </c>
      <c r="C201" s="39"/>
      <c r="D201" s="39"/>
      <c r="E201" s="39"/>
      <c r="F201" s="39"/>
      <c r="G201" s="39"/>
      <c r="H201" s="40"/>
      <c r="I201" s="37"/>
      <c r="J201" s="286" t="s">
        <v>1624</v>
      </c>
      <c r="K201" s="39"/>
      <c r="L201" s="39"/>
      <c r="M201" s="39"/>
      <c r="N201" s="39"/>
      <c r="O201" s="39"/>
      <c r="P201" s="40"/>
    </row>
    <row r="202" ht="18.0" customHeight="1">
      <c r="B202" s="124" t="s">
        <v>684</v>
      </c>
      <c r="C202" s="51" t="s">
        <v>164</v>
      </c>
      <c r="D202" s="51" t="s">
        <v>165</v>
      </c>
      <c r="E202" s="51" t="s">
        <v>166</v>
      </c>
      <c r="F202" s="51" t="s">
        <v>167</v>
      </c>
      <c r="G202" s="51" t="s">
        <v>168</v>
      </c>
      <c r="H202" s="51" t="s">
        <v>169</v>
      </c>
      <c r="I202" s="37"/>
      <c r="J202" s="124" t="s">
        <v>684</v>
      </c>
      <c r="K202" s="51" t="s">
        <v>164</v>
      </c>
      <c r="L202" s="51" t="s">
        <v>165</v>
      </c>
      <c r="M202" s="51" t="s">
        <v>166</v>
      </c>
      <c r="N202" s="51" t="s">
        <v>167</v>
      </c>
      <c r="O202" s="51" t="s">
        <v>168</v>
      </c>
      <c r="P202" s="51" t="s">
        <v>169</v>
      </c>
    </row>
    <row r="203" ht="16.5" customHeight="1">
      <c r="B203" s="55" t="s">
        <v>872</v>
      </c>
      <c r="C203" s="111"/>
      <c r="D203" s="111">
        <f>'Task 3_P&amp;L'!$C$95*D126+'Task 3_P&amp;L'!$C$96*'Task 3_P&amp;L'!$C$15*('Task 3_P&amp;L'!$C$97+(1-'Task 3_P&amp;L'!$C$97)*D126/'Task 3_P&amp;L'!$C$15)</f>
        <v>1459818.776</v>
      </c>
      <c r="E203" s="111">
        <f>'Task 3_P&amp;L'!$C$95*E126+'Task 3_P&amp;L'!$C$96*'Task 3_P&amp;L'!$C$15*('Task 3_P&amp;L'!$C$97+(1-'Task 3_P&amp;L'!$C$97)*E126/'Task 3_P&amp;L'!$C$15)</f>
        <v>1696697.031</v>
      </c>
      <c r="F203" s="111">
        <f>'Task 3_P&amp;L'!$C$95*F126+'Task 3_P&amp;L'!$C$96*'Task 3_P&amp;L'!$C$15*('Task 3_P&amp;L'!$C$97+(1-'Task 3_P&amp;L'!$C$97)*F126/'Task 3_P&amp;L'!$C$15)</f>
        <v>2012397.304</v>
      </c>
      <c r="G203" s="111">
        <f>'Task 3_P&amp;L'!$C$95*G126+'Task 3_P&amp;L'!$C$96*'Task 3_P&amp;L'!$C$15*('Task 3_P&amp;L'!$C$97+(1-'Task 3_P&amp;L'!$C$97)*G126/'Task 3_P&amp;L'!$C$15)</f>
        <v>1831037.746</v>
      </c>
      <c r="H203" s="111">
        <f>'Task 3_P&amp;L'!$C$95*H126+'Task 3_P&amp;L'!$C$96*'Task 3_P&amp;L'!$C$15*('Task 3_P&amp;L'!$C$97+(1-'Task 3_P&amp;L'!$C$97)*H126/'Task 3_P&amp;L'!$C$15)</f>
        <v>1551609.384</v>
      </c>
      <c r="I203" s="37"/>
      <c r="J203" s="55" t="s">
        <v>872</v>
      </c>
      <c r="K203" s="111"/>
      <c r="L203" s="111">
        <f t="shared" ref="L203:P203" si="67">D126-L126-L189-L168-D196-D203</f>
        <v>2565405.55</v>
      </c>
      <c r="M203" s="111">
        <f t="shared" si="67"/>
        <v>3087842.702</v>
      </c>
      <c r="N203" s="111">
        <f t="shared" si="67"/>
        <v>3826449.45</v>
      </c>
      <c r="O203" s="111">
        <f t="shared" si="67"/>
        <v>3315212.062</v>
      </c>
      <c r="P203" s="111">
        <f t="shared" si="67"/>
        <v>2524558.158</v>
      </c>
    </row>
    <row r="204" ht="16.5" customHeight="1">
      <c r="B204" s="55" t="s">
        <v>873</v>
      </c>
      <c r="C204" s="111"/>
      <c r="D204" s="111">
        <f>'Task 3_P&amp;L'!$C$95*D127+'Task 3_P&amp;L'!$C$96*'Task 3_P&amp;L'!$C$15*('Task 3_P&amp;L'!$C$97+(1-'Task 3_P&amp;L'!$C$97)*D127/'Task 3_P&amp;L'!$C$15)</f>
        <v>1459818.776</v>
      </c>
      <c r="E204" s="111">
        <f>'Task 3_P&amp;L'!$C$95*E127+'Task 3_P&amp;L'!$C$96*'Task 3_P&amp;L'!$C$15*('Task 3_P&amp;L'!$C$97+(1-'Task 3_P&amp;L'!$C$97)*E127/'Task 3_P&amp;L'!$C$15)</f>
        <v>1696697.031</v>
      </c>
      <c r="F204" s="111">
        <f>'Task 3_P&amp;L'!$C$95*F127+'Task 3_P&amp;L'!$C$96*'Task 3_P&amp;L'!$C$15*('Task 3_P&amp;L'!$C$97+(1-'Task 3_P&amp;L'!$C$97)*F127/'Task 3_P&amp;L'!$C$15)</f>
        <v>2012397.304</v>
      </c>
      <c r="G204" s="111">
        <f>'Task 3_P&amp;L'!$C$95*G127+'Task 3_P&amp;L'!$C$96*'Task 3_P&amp;L'!$C$15*('Task 3_P&amp;L'!$C$97+(1-'Task 3_P&amp;L'!$C$97)*G127/'Task 3_P&amp;L'!$C$15)</f>
        <v>2012397.304</v>
      </c>
      <c r="H204" s="111">
        <f>'Task 3_P&amp;L'!$C$95*H127+'Task 3_P&amp;L'!$C$96*'Task 3_P&amp;L'!$C$15*('Task 3_P&amp;L'!$C$97+(1-'Task 3_P&amp;L'!$C$97)*H127/'Task 3_P&amp;L'!$C$15)</f>
        <v>2012397.304</v>
      </c>
      <c r="I204" s="37"/>
      <c r="J204" s="55" t="s">
        <v>873</v>
      </c>
      <c r="K204" s="111"/>
      <c r="L204" s="111">
        <f t="shared" ref="L204:P204" si="68">D127-L127-L190-L169-D197-D204</f>
        <v>2565405.55</v>
      </c>
      <c r="M204" s="111">
        <f t="shared" si="68"/>
        <v>3087842.702</v>
      </c>
      <c r="N204" s="111">
        <f t="shared" si="68"/>
        <v>3826449.45</v>
      </c>
      <c r="O204" s="111">
        <f t="shared" si="68"/>
        <v>3779604.926</v>
      </c>
      <c r="P204" s="111">
        <f t="shared" si="68"/>
        <v>3732760.402</v>
      </c>
    </row>
    <row r="205" ht="16.5" customHeight="1">
      <c r="B205" s="55" t="s">
        <v>874</v>
      </c>
      <c r="C205" s="111"/>
      <c r="D205" s="111">
        <f>'Task 3_P&amp;L'!$C$95*D128+'Task 3_P&amp;L'!$C$96*'Task 3_P&amp;L'!$C$15*('Task 3_P&amp;L'!$C$97+(1-'Task 3_P&amp;L'!$C$97)*D128/'Task 3_P&amp;L'!$C$15)</f>
        <v>1459818.776</v>
      </c>
      <c r="E205" s="111">
        <f>'Task 3_P&amp;L'!$C$95*E128+'Task 3_P&amp;L'!$C$96*'Task 3_P&amp;L'!$C$15*('Task 3_P&amp;L'!$C$97+(1-'Task 3_P&amp;L'!$C$97)*E128/'Task 3_P&amp;L'!$C$15)</f>
        <v>1696697.031</v>
      </c>
      <c r="F205" s="111">
        <f>'Task 3_P&amp;L'!$C$95*F128+'Task 3_P&amp;L'!$C$96*'Task 3_P&amp;L'!$C$15*('Task 3_P&amp;L'!$C$97+(1-'Task 3_P&amp;L'!$C$97)*F128/'Task 3_P&amp;L'!$C$15)</f>
        <v>2012397.304</v>
      </c>
      <c r="G205" s="111">
        <f>'Task 3_P&amp;L'!$C$95*G128+'Task 3_P&amp;L'!$C$96*'Task 3_P&amp;L'!$C$15*('Task 3_P&amp;L'!$C$97+(1-'Task 3_P&amp;L'!$C$97)*G128/'Task 3_P&amp;L'!$C$15)</f>
        <v>2012397.304</v>
      </c>
      <c r="H205" s="111">
        <f>'Task 3_P&amp;L'!$C$95*H128+'Task 3_P&amp;L'!$C$96*'Task 3_P&amp;L'!$C$15*('Task 3_P&amp;L'!$C$97+(1-'Task 3_P&amp;L'!$C$97)*H128/'Task 3_P&amp;L'!$C$15)</f>
        <v>2012397.304</v>
      </c>
      <c r="I205" s="37"/>
      <c r="J205" s="55" t="s">
        <v>874</v>
      </c>
      <c r="K205" s="111"/>
      <c r="L205" s="111">
        <f t="shared" ref="L205:P205" si="69">D128-L128-L191-L170-D198-D205</f>
        <v>2565405.55</v>
      </c>
      <c r="M205" s="111">
        <f t="shared" si="69"/>
        <v>3087842.702</v>
      </c>
      <c r="N205" s="111">
        <f t="shared" si="69"/>
        <v>3826449.45</v>
      </c>
      <c r="O205" s="111">
        <f t="shared" si="69"/>
        <v>3793740.441</v>
      </c>
      <c r="P205" s="111">
        <f t="shared" si="69"/>
        <v>3761031.433</v>
      </c>
    </row>
    <row r="206" ht="16.5" customHeight="1">
      <c r="B206" s="73" t="s">
        <v>875</v>
      </c>
      <c r="C206" s="111"/>
      <c r="D206" s="111">
        <f>'Task 3_P&amp;L'!$C$95*D129+'Task 3_P&amp;L'!$C$96*'Task 3_P&amp;L'!$C$15*('Task 3_P&amp;L'!$C$97+(1-'Task 3_P&amp;L'!$C$97)*D129/'Task 3_P&amp;L'!$C$15)</f>
        <v>1459818.776</v>
      </c>
      <c r="E206" s="111">
        <f>'Task 3_P&amp;L'!$C$95*E129+'Task 3_P&amp;L'!$C$96*'Task 3_P&amp;L'!$C$15*('Task 3_P&amp;L'!$C$97+(1-'Task 3_P&amp;L'!$C$97)*E129/'Task 3_P&amp;L'!$C$15)</f>
        <v>1696697.031</v>
      </c>
      <c r="F206" s="111">
        <f>'Task 3_P&amp;L'!$C$95*F129+'Task 3_P&amp;L'!$C$96*'Task 3_P&amp;L'!$C$15*('Task 3_P&amp;L'!$C$97+(1-'Task 3_P&amp;L'!$C$97)*F129/'Task 3_P&amp;L'!$C$15)</f>
        <v>2012397.304</v>
      </c>
      <c r="G206" s="111">
        <f>'Task 3_P&amp;L'!$C$95*G129+'Task 3_P&amp;L'!$C$96*'Task 3_P&amp;L'!$C$15*('Task 3_P&amp;L'!$C$97+(1-'Task 3_P&amp;L'!$C$97)*G129/'Task 3_P&amp;L'!$C$15)</f>
        <v>2012397.304</v>
      </c>
      <c r="H206" s="111">
        <f>'Task 3_P&amp;L'!$C$95*H129+'Task 3_P&amp;L'!$C$96*'Task 3_P&amp;L'!$C$15*('Task 3_P&amp;L'!$C$97+(1-'Task 3_P&amp;L'!$C$97)*H129/'Task 3_P&amp;L'!$C$15)</f>
        <v>2012397.304</v>
      </c>
      <c r="I206" s="37"/>
      <c r="J206" s="73" t="s">
        <v>875</v>
      </c>
      <c r="K206" s="111"/>
      <c r="L206" s="111">
        <f t="shared" ref="L206:P206" si="70">D129-L129-L192-L171-D199-D206</f>
        <v>2565405.55</v>
      </c>
      <c r="M206" s="111">
        <f t="shared" si="70"/>
        <v>3087842.702</v>
      </c>
      <c r="N206" s="111">
        <f t="shared" si="70"/>
        <v>3826449.45</v>
      </c>
      <c r="O206" s="111">
        <f t="shared" si="70"/>
        <v>3786672.684</v>
      </c>
      <c r="P206" s="111">
        <f t="shared" si="70"/>
        <v>3746895.917</v>
      </c>
    </row>
    <row r="207" ht="14.25" customHeight="1"/>
    <row r="208" ht="19.5" customHeight="1">
      <c r="B208" s="286" t="s">
        <v>1625</v>
      </c>
      <c r="C208" s="39"/>
      <c r="D208" s="39"/>
      <c r="E208" s="39"/>
      <c r="F208" s="39"/>
      <c r="G208" s="39"/>
      <c r="H208" s="40"/>
      <c r="I208" s="37"/>
      <c r="J208" s="286" t="s">
        <v>1626</v>
      </c>
      <c r="K208" s="39"/>
      <c r="L208" s="39"/>
      <c r="M208" s="39"/>
      <c r="N208" s="39"/>
      <c r="O208" s="39"/>
      <c r="P208" s="40"/>
    </row>
    <row r="209" ht="18.0" customHeight="1">
      <c r="B209" s="124" t="s">
        <v>684</v>
      </c>
      <c r="C209" s="51" t="s">
        <v>164</v>
      </c>
      <c r="D209" s="51" t="s">
        <v>165</v>
      </c>
      <c r="E209" s="51" t="s">
        <v>166</v>
      </c>
      <c r="F209" s="51" t="s">
        <v>167</v>
      </c>
      <c r="G209" s="51" t="s">
        <v>168</v>
      </c>
      <c r="H209" s="51" t="s">
        <v>169</v>
      </c>
      <c r="I209" s="37"/>
      <c r="J209" s="124" t="s">
        <v>684</v>
      </c>
      <c r="K209" s="51" t="s">
        <v>164</v>
      </c>
      <c r="L209" s="51" t="s">
        <v>165</v>
      </c>
      <c r="M209" s="51" t="s">
        <v>166</v>
      </c>
      <c r="N209" s="51" t="s">
        <v>167</v>
      </c>
      <c r="O209" s="51" t="s">
        <v>168</v>
      </c>
      <c r="P209" s="51" t="s">
        <v>169</v>
      </c>
    </row>
    <row r="210" ht="16.5" customHeight="1">
      <c r="B210" s="55" t="s">
        <v>872</v>
      </c>
      <c r="C210" s="117"/>
      <c r="D210" s="117">
        <f>L203-'Task 3_P&amp;L'!$C$99-MAX(0,L203-'Task 3_P&amp;L'!$C$99)*'Task 3_P&amp;L'!$C$98</f>
        <v>2052324.44</v>
      </c>
      <c r="E210" s="117">
        <f>M203-'Task 3_P&amp;L'!$C$99-MAX(0,M203-'Task 3_P&amp;L'!$C$99)*'Task 3_P&amp;L'!$C$98</f>
        <v>2470274.161</v>
      </c>
      <c r="F210" s="117">
        <f>N203-'Task 3_P&amp;L'!$C$99-MAX(0,N203-'Task 3_P&amp;L'!$C$99)*'Task 3_P&amp;L'!$C$98</f>
        <v>3061159.56</v>
      </c>
      <c r="G210" s="117">
        <f>O203-'Task 3_P&amp;L'!$C$99-MAX(0,O203-'Task 3_P&amp;L'!$C$99)*'Task 3_P&amp;L'!$C$98</f>
        <v>2652169.649</v>
      </c>
      <c r="H210" s="117">
        <f>P203-'Task 3_P&amp;L'!$C$99-MAX(0,P203-'Task 3_P&amp;L'!$C$99)*'Task 3_P&amp;L'!$C$98</f>
        <v>2019646.526</v>
      </c>
      <c r="I210" s="37"/>
      <c r="J210" s="55" t="s">
        <v>872</v>
      </c>
      <c r="K210" s="135"/>
      <c r="L210" s="135">
        <f t="shared" ref="L210:P210" si="71">D210/D126</f>
        <v>0.09502216663</v>
      </c>
      <c r="M210" s="135">
        <f t="shared" si="71"/>
        <v>0.09291884783</v>
      </c>
      <c r="N210" s="135">
        <f t="shared" si="71"/>
        <v>0.09211590317</v>
      </c>
      <c r="O210" s="135">
        <f t="shared" si="71"/>
        <v>0.09016841207</v>
      </c>
      <c r="P210" s="135">
        <f t="shared" si="71"/>
        <v>0.08582987908</v>
      </c>
    </row>
    <row r="211" ht="16.5" customHeight="1">
      <c r="B211" s="55" t="s">
        <v>873</v>
      </c>
      <c r="C211" s="117"/>
      <c r="D211" s="117">
        <f>L204-'Task 3_P&amp;L'!$C$99-MAX(0,L204-'Task 3_P&amp;L'!$C$99)*'Task 3_P&amp;L'!$C$98</f>
        <v>2052324.44</v>
      </c>
      <c r="E211" s="117">
        <f>M204-'Task 3_P&amp;L'!$C$99-MAX(0,M204-'Task 3_P&amp;L'!$C$99)*'Task 3_P&amp;L'!$C$98</f>
        <v>2470274.161</v>
      </c>
      <c r="F211" s="117">
        <f>N204-'Task 3_P&amp;L'!$C$99-MAX(0,N204-'Task 3_P&amp;L'!$C$99)*'Task 3_P&amp;L'!$C$98</f>
        <v>3061159.56</v>
      </c>
      <c r="G211" s="117">
        <f>O204-'Task 3_P&amp;L'!$C$99-MAX(0,O204-'Task 3_P&amp;L'!$C$99)*'Task 3_P&amp;L'!$C$98</f>
        <v>3023683.941</v>
      </c>
      <c r="H211" s="117">
        <f>P204-'Task 3_P&amp;L'!$C$99-MAX(0,P204-'Task 3_P&amp;L'!$C$99)*'Task 3_P&amp;L'!$C$98</f>
        <v>2986208.321</v>
      </c>
      <c r="I211" s="37"/>
      <c r="J211" s="55" t="s">
        <v>873</v>
      </c>
      <c r="K211" s="135"/>
      <c r="L211" s="135">
        <f t="shared" ref="L211:P211" si="72">D211/D127</f>
        <v>0.09502216663</v>
      </c>
      <c r="M211" s="135">
        <f t="shared" si="72"/>
        <v>0.09291884783</v>
      </c>
      <c r="N211" s="135">
        <f t="shared" si="72"/>
        <v>0.09211590317</v>
      </c>
      <c r="O211" s="135">
        <f t="shared" si="72"/>
        <v>0.09098819309</v>
      </c>
      <c r="P211" s="135">
        <f t="shared" si="72"/>
        <v>0.089860483</v>
      </c>
    </row>
    <row r="212" ht="16.5" customHeight="1">
      <c r="B212" s="55" t="s">
        <v>874</v>
      </c>
      <c r="C212" s="117"/>
      <c r="D212" s="117">
        <f>L205-'Task 3_P&amp;L'!$C$99-MAX(0,L205-'Task 3_P&amp;L'!$C$99)*'Task 3_P&amp;L'!$C$98</f>
        <v>2052324.44</v>
      </c>
      <c r="E212" s="117">
        <f>M205-'Task 3_P&amp;L'!$C$99-MAX(0,M205-'Task 3_P&amp;L'!$C$99)*'Task 3_P&amp;L'!$C$98</f>
        <v>2470274.161</v>
      </c>
      <c r="F212" s="117">
        <f>N205-'Task 3_P&amp;L'!$C$99-MAX(0,N205-'Task 3_P&amp;L'!$C$99)*'Task 3_P&amp;L'!$C$98</f>
        <v>3061159.56</v>
      </c>
      <c r="G212" s="117">
        <f>O205-'Task 3_P&amp;L'!$C$99-MAX(0,O205-'Task 3_P&amp;L'!$C$99)*'Task 3_P&amp;L'!$C$98</f>
        <v>3034992.353</v>
      </c>
      <c r="H212" s="117">
        <f>P205-'Task 3_P&amp;L'!$C$99-MAX(0,P205-'Task 3_P&amp;L'!$C$99)*'Task 3_P&amp;L'!$C$98</f>
        <v>3008825.147</v>
      </c>
      <c r="I212" s="37"/>
      <c r="J212" s="55" t="s">
        <v>874</v>
      </c>
      <c r="K212" s="135"/>
      <c r="L212" s="135">
        <f t="shared" ref="L212:P212" si="73">D212/D128</f>
        <v>0.09502216663</v>
      </c>
      <c r="M212" s="135">
        <f t="shared" si="73"/>
        <v>0.09291884783</v>
      </c>
      <c r="N212" s="135">
        <f t="shared" si="73"/>
        <v>0.09211590317</v>
      </c>
      <c r="O212" s="135">
        <f t="shared" si="73"/>
        <v>0.09132848395</v>
      </c>
      <c r="P212" s="135">
        <f t="shared" si="73"/>
        <v>0.09054106473</v>
      </c>
    </row>
    <row r="213" ht="16.5" customHeight="1">
      <c r="B213" s="73" t="s">
        <v>875</v>
      </c>
      <c r="C213" s="117"/>
      <c r="D213" s="117">
        <f>L206-'Task 3_P&amp;L'!$C$99-MAX(0,L206-'Task 3_P&amp;L'!$C$99)*'Task 3_P&amp;L'!$C$98</f>
        <v>2052324.44</v>
      </c>
      <c r="E213" s="117">
        <f>M206-'Task 3_P&amp;L'!$C$99-MAX(0,M206-'Task 3_P&amp;L'!$C$99)*'Task 3_P&amp;L'!$C$98</f>
        <v>2470274.161</v>
      </c>
      <c r="F213" s="117">
        <f>N206-'Task 3_P&amp;L'!$C$99-MAX(0,N206-'Task 3_P&amp;L'!$C$99)*'Task 3_P&amp;L'!$C$98</f>
        <v>3061159.56</v>
      </c>
      <c r="G213" s="117">
        <f>O206-'Task 3_P&amp;L'!$C$99-MAX(0,O206-'Task 3_P&amp;L'!$C$99)*'Task 3_P&amp;L'!$C$98</f>
        <v>3029338.147</v>
      </c>
      <c r="H213" s="117">
        <f>P206-'Task 3_P&amp;L'!$C$99-MAX(0,P206-'Task 3_P&amp;L'!$C$99)*'Task 3_P&amp;L'!$C$98</f>
        <v>2997516.734</v>
      </c>
      <c r="I213" s="37"/>
      <c r="J213" s="73" t="s">
        <v>875</v>
      </c>
      <c r="K213" s="135"/>
      <c r="L213" s="135">
        <f t="shared" ref="L213:P213" si="74">D213/D129</f>
        <v>0.09502216663</v>
      </c>
      <c r="M213" s="135">
        <f t="shared" si="74"/>
        <v>0.09291884783</v>
      </c>
      <c r="N213" s="135">
        <f t="shared" si="74"/>
        <v>0.09211590317</v>
      </c>
      <c r="O213" s="135">
        <f t="shared" si="74"/>
        <v>0.09115833852</v>
      </c>
      <c r="P213" s="135">
        <f t="shared" si="74"/>
        <v>0.09020077387</v>
      </c>
    </row>
    <row r="214" ht="14.25" customHeight="1"/>
    <row r="215" ht="19.5" customHeight="1">
      <c r="B215" s="286" t="s">
        <v>1627</v>
      </c>
      <c r="C215" s="39"/>
      <c r="D215" s="39"/>
      <c r="E215" s="39"/>
      <c r="F215" s="39"/>
      <c r="G215" s="39"/>
      <c r="H215" s="40"/>
      <c r="I215" s="37"/>
      <c r="J215" s="286" t="s">
        <v>1628</v>
      </c>
      <c r="K215" s="39"/>
      <c r="L215" s="39"/>
      <c r="M215" s="39"/>
      <c r="N215" s="39"/>
      <c r="O215" s="39"/>
      <c r="P215" s="40"/>
    </row>
    <row r="216" ht="18.0" customHeight="1">
      <c r="B216" s="124" t="s">
        <v>684</v>
      </c>
      <c r="C216" s="51" t="s">
        <v>164</v>
      </c>
      <c r="D216" s="51" t="s">
        <v>165</v>
      </c>
      <c r="E216" s="51" t="s">
        <v>166</v>
      </c>
      <c r="F216" s="51" t="s">
        <v>167</v>
      </c>
      <c r="G216" s="51" t="s">
        <v>168</v>
      </c>
      <c r="H216" s="51" t="s">
        <v>169</v>
      </c>
      <c r="I216" s="37"/>
      <c r="J216" s="124" t="s">
        <v>684</v>
      </c>
      <c r="K216" s="51" t="s">
        <v>164</v>
      </c>
      <c r="L216" s="51" t="s">
        <v>165</v>
      </c>
      <c r="M216" s="51" t="s">
        <v>166</v>
      </c>
      <c r="N216" s="51" t="s">
        <v>167</v>
      </c>
      <c r="O216" s="51" t="s">
        <v>168</v>
      </c>
      <c r="P216" s="51" t="s">
        <v>169</v>
      </c>
    </row>
    <row r="217" ht="16.5" customHeight="1">
      <c r="B217" s="55" t="s">
        <v>872</v>
      </c>
      <c r="C217" s="77"/>
      <c r="D217" s="77" t="str">
        <f t="shared" ref="D217:H217" si="75">IF(D$115="≥",IF(L210&gt;=D$114,"PASS","FAIL"),IF(AND(L210&gt;D$114,D210&gt;0),"PASS","FAIL"))</f>
        <v>PASS</v>
      </c>
      <c r="E217" s="77" t="str">
        <f t="shared" si="75"/>
        <v>PASS</v>
      </c>
      <c r="F217" s="77" t="str">
        <f t="shared" si="75"/>
        <v>PASS</v>
      </c>
      <c r="G217" s="77" t="str">
        <f t="shared" si="75"/>
        <v>PASS</v>
      </c>
      <c r="H217" s="77" t="str">
        <f t="shared" si="75"/>
        <v>PASS</v>
      </c>
      <c r="I217" s="37"/>
      <c r="J217" s="55" t="s">
        <v>872</v>
      </c>
      <c r="K217" s="111">
        <f>'Task 3_P&amp;L'!$C$100/365*C126+('Task 3_P&amp;L'!$C$101-'Task 3_P&amp;L'!$C$102)/365*K126</f>
        <v>3007243.062</v>
      </c>
      <c r="L217" s="111">
        <f>'Task 3_P&amp;L'!$C$100/365*D126+('Task 3_P&amp;L'!$C$101-'Task 3_P&amp;L'!$C$102)/365*L126</f>
        <v>3368112.229</v>
      </c>
      <c r="M217" s="111">
        <f>'Task 3_P&amp;L'!$C$100/365*E126+('Task 3_P&amp;L'!$C$101-'Task 3_P&amp;L'!$C$102)/365*M126</f>
        <v>4145785.285</v>
      </c>
      <c r="N217" s="111">
        <f>'Task 3_P&amp;L'!$C$100/365*F126+('Task 3_P&amp;L'!$C$101-'Task 3_P&amp;L'!$C$102)/365*N126</f>
        <v>5182231.606</v>
      </c>
      <c r="O217" s="111">
        <f>'Task 3_P&amp;L'!$C$100/365*G126+('Task 3_P&amp;L'!$C$101-'Task 3_P&amp;L'!$C$102)/365*O126</f>
        <v>4586826.841</v>
      </c>
      <c r="P217" s="111">
        <f>'Task 3_P&amp;L'!$C$100/365*H126+('Task 3_P&amp;L'!$C$101-'Task 3_P&amp;L'!$C$102)/365*P126</f>
        <v>3669461.473</v>
      </c>
    </row>
    <row r="218" ht="16.5" customHeight="1">
      <c r="B218" s="55" t="s">
        <v>873</v>
      </c>
      <c r="C218" s="77"/>
      <c r="D218" s="77" t="str">
        <f t="shared" ref="D218:H218" si="76">IF(D$115="≥",IF(L211&gt;=D$114,"PASS","FAIL"),IF(AND(L211&gt;D$114,D211&gt;0),"PASS","FAIL"))</f>
        <v>PASS</v>
      </c>
      <c r="E218" s="77" t="str">
        <f t="shared" si="76"/>
        <v>PASS</v>
      </c>
      <c r="F218" s="77" t="str">
        <f t="shared" si="76"/>
        <v>PASS</v>
      </c>
      <c r="G218" s="77" t="str">
        <f t="shared" si="76"/>
        <v>PASS</v>
      </c>
      <c r="H218" s="77" t="str">
        <f t="shared" si="76"/>
        <v>PASS</v>
      </c>
      <c r="I218" s="37"/>
      <c r="J218" s="55" t="s">
        <v>873</v>
      </c>
      <c r="K218" s="111">
        <f>'Task 3_P&amp;L'!$C$100/365*C127+('Task 3_P&amp;L'!$C$101-'Task 3_P&amp;L'!$C$102)/365*K127</f>
        <v>3007243.062</v>
      </c>
      <c r="L218" s="111">
        <f>'Task 3_P&amp;L'!$C$100/365*D127+('Task 3_P&amp;L'!$C$101-'Task 3_P&amp;L'!$C$102)/365*L127</f>
        <v>3368112.229</v>
      </c>
      <c r="M218" s="111">
        <f>'Task 3_P&amp;L'!$C$100/365*E127+('Task 3_P&amp;L'!$C$101-'Task 3_P&amp;L'!$C$102)/365*M127</f>
        <v>4145785.285</v>
      </c>
      <c r="N218" s="111">
        <f>'Task 3_P&amp;L'!$C$100/365*F127+('Task 3_P&amp;L'!$C$101-'Task 3_P&amp;L'!$C$102)/365*N127</f>
        <v>5182231.606</v>
      </c>
      <c r="O218" s="111">
        <f>'Task 3_P&amp;L'!$C$100/365*G127+('Task 3_P&amp;L'!$C$101-'Task 3_P&amp;L'!$C$102)/365*O127</f>
        <v>5182231.606</v>
      </c>
      <c r="P218" s="111">
        <f>'Task 3_P&amp;L'!$C$100/365*H127+('Task 3_P&amp;L'!$C$101-'Task 3_P&amp;L'!$C$102)/365*P127</f>
        <v>5182231.606</v>
      </c>
    </row>
    <row r="219" ht="16.5" customHeight="1">
      <c r="B219" s="55" t="s">
        <v>874</v>
      </c>
      <c r="C219" s="77"/>
      <c r="D219" s="77" t="str">
        <f t="shared" ref="D219:H219" si="77">IF(D$115="≥",IF(L212&gt;=D$114,"PASS","FAIL"),IF(AND(L212&gt;D$114,D212&gt;0),"PASS","FAIL"))</f>
        <v>PASS</v>
      </c>
      <c r="E219" s="77" t="str">
        <f t="shared" si="77"/>
        <v>PASS</v>
      </c>
      <c r="F219" s="77" t="str">
        <f t="shared" si="77"/>
        <v>PASS</v>
      </c>
      <c r="G219" s="77" t="str">
        <f t="shared" si="77"/>
        <v>PASS</v>
      </c>
      <c r="H219" s="77" t="str">
        <f t="shared" si="77"/>
        <v>PASS</v>
      </c>
      <c r="I219" s="37"/>
      <c r="J219" s="55" t="s">
        <v>874</v>
      </c>
      <c r="K219" s="111">
        <f>'Task 3_P&amp;L'!$C$100/365*C128+('Task 3_P&amp;L'!$C$101-'Task 3_P&amp;L'!$C$102)/365*K128</f>
        <v>3007243.062</v>
      </c>
      <c r="L219" s="111">
        <f>'Task 3_P&amp;L'!$C$100/365*D128+('Task 3_P&amp;L'!$C$101-'Task 3_P&amp;L'!$C$102)/365*L128</f>
        <v>3368112.229</v>
      </c>
      <c r="M219" s="111">
        <f>'Task 3_P&amp;L'!$C$100/365*E128+('Task 3_P&amp;L'!$C$101-'Task 3_P&amp;L'!$C$102)/365*M128</f>
        <v>4145785.285</v>
      </c>
      <c r="N219" s="111">
        <f>'Task 3_P&amp;L'!$C$100/365*F128+('Task 3_P&amp;L'!$C$101-'Task 3_P&amp;L'!$C$102)/365*N128</f>
        <v>5182231.606</v>
      </c>
      <c r="O219" s="111">
        <f>'Task 3_P&amp;L'!$C$100/365*G128+('Task 3_P&amp;L'!$C$101-'Task 3_P&amp;L'!$C$102)/365*O128</f>
        <v>5182231.606</v>
      </c>
      <c r="P219" s="111">
        <f>'Task 3_P&amp;L'!$C$100/365*H128+('Task 3_P&amp;L'!$C$101-'Task 3_P&amp;L'!$C$102)/365*P128</f>
        <v>5182231.606</v>
      </c>
    </row>
    <row r="220" ht="16.5" customHeight="1">
      <c r="B220" s="73" t="s">
        <v>875</v>
      </c>
      <c r="C220" s="77"/>
      <c r="D220" s="77" t="str">
        <f t="shared" ref="D220:H220" si="78">IF(D$115="≥",IF(L213&gt;=D$114,"PASS","FAIL"),IF(AND(L213&gt;D$114,D213&gt;0),"PASS","FAIL"))</f>
        <v>PASS</v>
      </c>
      <c r="E220" s="77" t="str">
        <f t="shared" si="78"/>
        <v>PASS</v>
      </c>
      <c r="F220" s="77" t="str">
        <f t="shared" si="78"/>
        <v>PASS</v>
      </c>
      <c r="G220" s="77" t="str">
        <f t="shared" si="78"/>
        <v>PASS</v>
      </c>
      <c r="H220" s="77" t="str">
        <f t="shared" si="78"/>
        <v>PASS</v>
      </c>
      <c r="I220" s="37"/>
      <c r="J220" s="73" t="s">
        <v>875</v>
      </c>
      <c r="K220" s="111">
        <f>'Task 3_P&amp;L'!$C$100/365*C129+('Task 3_P&amp;L'!$C$101-'Task 3_P&amp;L'!$C$102)/365*K129</f>
        <v>3007243.062</v>
      </c>
      <c r="L220" s="111">
        <f>'Task 3_P&amp;L'!$C$100/365*D129+('Task 3_P&amp;L'!$C$101-'Task 3_P&amp;L'!$C$102)/365*L129</f>
        <v>3368112.229</v>
      </c>
      <c r="M220" s="111">
        <f>'Task 3_P&amp;L'!$C$100/365*E129+('Task 3_P&amp;L'!$C$101-'Task 3_P&amp;L'!$C$102)/365*M129</f>
        <v>4145785.285</v>
      </c>
      <c r="N220" s="111">
        <f>'Task 3_P&amp;L'!$C$100/365*F129+('Task 3_P&amp;L'!$C$101-'Task 3_P&amp;L'!$C$102)/365*N129</f>
        <v>5182231.606</v>
      </c>
      <c r="O220" s="111">
        <f>'Task 3_P&amp;L'!$C$100/365*G129+('Task 3_P&amp;L'!$C$101-'Task 3_P&amp;L'!$C$102)/365*O129</f>
        <v>5182231.606</v>
      </c>
      <c r="P220" s="111">
        <f>'Task 3_P&amp;L'!$C$100/365*H129+('Task 3_P&amp;L'!$C$101-'Task 3_P&amp;L'!$C$102)/365*P129</f>
        <v>5182231.606</v>
      </c>
    </row>
    <row r="221" ht="14.25" customHeight="1"/>
    <row r="222" ht="19.5" customHeight="1">
      <c r="B222" s="286" t="s">
        <v>1629</v>
      </c>
      <c r="C222" s="39"/>
      <c r="D222" s="39"/>
      <c r="E222" s="39"/>
      <c r="F222" s="39"/>
      <c r="G222" s="39"/>
      <c r="H222" s="40"/>
      <c r="I222" s="37"/>
      <c r="J222" s="286" t="s">
        <v>934</v>
      </c>
      <c r="K222" s="39"/>
      <c r="L222" s="39"/>
      <c r="M222" s="39"/>
      <c r="N222" s="39"/>
      <c r="O222" s="39"/>
      <c r="P222" s="40"/>
    </row>
    <row r="223" ht="18.0" customHeight="1">
      <c r="B223" s="124" t="s">
        <v>684</v>
      </c>
      <c r="C223" s="51" t="s">
        <v>164</v>
      </c>
      <c r="D223" s="51" t="s">
        <v>165</v>
      </c>
      <c r="E223" s="51" t="s">
        <v>166</v>
      </c>
      <c r="F223" s="51" t="s">
        <v>167</v>
      </c>
      <c r="G223" s="51" t="s">
        <v>168</v>
      </c>
      <c r="H223" s="51" t="s">
        <v>169</v>
      </c>
      <c r="I223" s="37"/>
      <c r="J223" s="124" t="s">
        <v>684</v>
      </c>
      <c r="K223" s="51" t="s">
        <v>164</v>
      </c>
      <c r="L223" s="51" t="s">
        <v>165</v>
      </c>
      <c r="M223" s="51" t="s">
        <v>166</v>
      </c>
      <c r="N223" s="51" t="s">
        <v>167</v>
      </c>
      <c r="O223" s="51" t="s">
        <v>168</v>
      </c>
      <c r="P223" s="51" t="s">
        <v>169</v>
      </c>
    </row>
    <row r="224" ht="16.5" customHeight="1">
      <c r="B224" s="55" t="s">
        <v>872</v>
      </c>
      <c r="C224" s="110"/>
      <c r="D224" s="110">
        <f t="shared" ref="D224:H224" si="79">D210+D196-L196-(L217-K217)</f>
        <v>974255.2726</v>
      </c>
      <c r="E224" s="110">
        <f t="shared" si="79"/>
        <v>1836701.106</v>
      </c>
      <c r="F224" s="110">
        <f t="shared" si="79"/>
        <v>2212813.238</v>
      </c>
      <c r="G224" s="110">
        <f t="shared" si="79"/>
        <v>3435674.414</v>
      </c>
      <c r="H224" s="110">
        <f t="shared" si="79"/>
        <v>3125111.895</v>
      </c>
      <c r="I224" s="37"/>
      <c r="J224" s="55" t="s">
        <v>872</v>
      </c>
      <c r="K224" s="110"/>
      <c r="L224" s="110">
        <f t="shared" ref="L224:L227" si="82">D224</f>
        <v>974255.2726</v>
      </c>
      <c r="M224" s="110">
        <f t="shared" ref="M224:P224" si="80">L224+E224</f>
        <v>2810956.378</v>
      </c>
      <c r="N224" s="110">
        <f t="shared" si="80"/>
        <v>5023769.617</v>
      </c>
      <c r="O224" s="110">
        <f t="shared" si="80"/>
        <v>8459444.031</v>
      </c>
      <c r="P224" s="110">
        <f t="shared" si="80"/>
        <v>11584555.93</v>
      </c>
    </row>
    <row r="225" ht="16.5" customHeight="1">
      <c r="B225" s="55" t="s">
        <v>873</v>
      </c>
      <c r="C225" s="110"/>
      <c r="D225" s="110">
        <f t="shared" ref="D225:H225" si="81">D211+D197-L197-(L218-K218)</f>
        <v>974255.2726</v>
      </c>
      <c r="E225" s="110">
        <f t="shared" si="81"/>
        <v>1836701.106</v>
      </c>
      <c r="F225" s="110">
        <f t="shared" si="81"/>
        <v>2212813.238</v>
      </c>
      <c r="G225" s="110">
        <f t="shared" si="81"/>
        <v>3211783.941</v>
      </c>
      <c r="H225" s="110">
        <f t="shared" si="81"/>
        <v>3174308.321</v>
      </c>
      <c r="I225" s="37"/>
      <c r="J225" s="55" t="s">
        <v>873</v>
      </c>
      <c r="K225" s="110"/>
      <c r="L225" s="110">
        <f t="shared" si="82"/>
        <v>974255.2726</v>
      </c>
      <c r="M225" s="110">
        <f t="shared" ref="M225:P225" si="83">L225+E225</f>
        <v>2810956.378</v>
      </c>
      <c r="N225" s="110">
        <f t="shared" si="83"/>
        <v>5023769.617</v>
      </c>
      <c r="O225" s="110">
        <f t="shared" si="83"/>
        <v>8235553.557</v>
      </c>
      <c r="P225" s="110">
        <f t="shared" si="83"/>
        <v>11409861.88</v>
      </c>
    </row>
    <row r="226" ht="16.5" customHeight="1">
      <c r="B226" s="55" t="s">
        <v>874</v>
      </c>
      <c r="C226" s="110"/>
      <c r="D226" s="110">
        <f t="shared" ref="D226:H226" si="84">D212+D198-L198-(L219-K219)</f>
        <v>974255.2726</v>
      </c>
      <c r="E226" s="110">
        <f t="shared" si="84"/>
        <v>1836701.106</v>
      </c>
      <c r="F226" s="110">
        <f t="shared" si="84"/>
        <v>2212813.238</v>
      </c>
      <c r="G226" s="110">
        <f t="shared" si="84"/>
        <v>3223092.353</v>
      </c>
      <c r="H226" s="110">
        <f t="shared" si="84"/>
        <v>3196925.147</v>
      </c>
      <c r="I226" s="37"/>
      <c r="J226" s="55" t="s">
        <v>874</v>
      </c>
      <c r="K226" s="110"/>
      <c r="L226" s="110">
        <f t="shared" si="82"/>
        <v>974255.2726</v>
      </c>
      <c r="M226" s="110">
        <f t="shared" ref="M226:P226" si="85">L226+E226</f>
        <v>2810956.378</v>
      </c>
      <c r="N226" s="110">
        <f t="shared" si="85"/>
        <v>5023769.617</v>
      </c>
      <c r="O226" s="110">
        <f t="shared" si="85"/>
        <v>8246861.97</v>
      </c>
      <c r="P226" s="110">
        <f t="shared" si="85"/>
        <v>11443787.12</v>
      </c>
    </row>
    <row r="227" ht="16.5" customHeight="1">
      <c r="B227" s="73" t="s">
        <v>875</v>
      </c>
      <c r="C227" s="110"/>
      <c r="D227" s="110">
        <f t="shared" ref="D227:H227" si="86">D213+D199-L199-(L220-K220)</f>
        <v>974255.2726</v>
      </c>
      <c r="E227" s="110">
        <f t="shared" si="86"/>
        <v>1836701.106</v>
      </c>
      <c r="F227" s="110">
        <f t="shared" si="86"/>
        <v>2212813.238</v>
      </c>
      <c r="G227" s="110">
        <f t="shared" si="86"/>
        <v>3217438.147</v>
      </c>
      <c r="H227" s="110">
        <f t="shared" si="86"/>
        <v>3185616.734</v>
      </c>
      <c r="I227" s="37"/>
      <c r="J227" s="73" t="s">
        <v>875</v>
      </c>
      <c r="K227" s="110"/>
      <c r="L227" s="110">
        <f t="shared" si="82"/>
        <v>974255.2726</v>
      </c>
      <c r="M227" s="110">
        <f t="shared" ref="M227:P227" si="87">L227+E227</f>
        <v>2810956.378</v>
      </c>
      <c r="N227" s="110">
        <f t="shared" si="87"/>
        <v>5023769.617</v>
      </c>
      <c r="O227" s="110">
        <f t="shared" si="87"/>
        <v>8241207.763</v>
      </c>
      <c r="P227" s="110">
        <f t="shared" si="87"/>
        <v>11426824.5</v>
      </c>
    </row>
    <row r="228" ht="14.25" customHeight="1">
      <c r="B228" s="304"/>
      <c r="C228" s="39"/>
      <c r="D228" s="39"/>
      <c r="E228" s="39"/>
      <c r="F228" s="39"/>
      <c r="G228" s="39"/>
      <c r="H228" s="40"/>
    </row>
    <row r="229" ht="27.0" customHeight="1">
      <c r="B229" s="122" t="s">
        <v>1630</v>
      </c>
      <c r="C229" s="53"/>
      <c r="D229" s="305" t="str">
        <f>IF(AND(ABS(D210-'Task 3_P&amp;L'!D29)&lt;1,ABS(L189-'Task 3_P&amp;L'!D19)&lt;1),"OK","CHECK")</f>
        <v>OK</v>
      </c>
      <c r="E229" s="305" t="str">
        <f>IF(AND(ABS(E210-'Task 3_P&amp;L'!E29)&lt;1,ABS(M189-'Task 3_P&amp;L'!E19)&lt;1),"OK","CHECK")</f>
        <v>OK</v>
      </c>
      <c r="F229" s="305" t="str">
        <f>IF(AND(ABS(F210-'Task 3_P&amp;L'!F29)&lt;1,ABS(N189-'Task 3_P&amp;L'!F19)&lt;1),"OK","CHECK")</f>
        <v>OK</v>
      </c>
      <c r="G229" s="305" t="str">
        <f>IF(AND(ABS(G210-'Task 3_P&amp;L'!G29)&lt;1,ABS(O189-'Task 3_P&amp;L'!G19)&lt;1),"OK","CHECK")</f>
        <v>OK</v>
      </c>
      <c r="H229" s="305" t="str">
        <f>IF(AND(ABS(H210-'Task 3_P&amp;L'!H29)&lt;1,ABS(P189-'Task 3_P&amp;L'!H19)&lt;1),"OK","CHECK")</f>
        <v>OK</v>
      </c>
    </row>
    <row r="230" ht="27.0" customHeight="1">
      <c r="B230" s="122" t="s">
        <v>1631</v>
      </c>
      <c r="D230" s="305" t="str">
        <f t="shared" ref="D230:H230" si="88">IF(ABS(L157-L148)&lt;0.5,"OK","CHECK")</f>
        <v>OK</v>
      </c>
      <c r="E230" s="305" t="str">
        <f t="shared" si="88"/>
        <v>OK</v>
      </c>
      <c r="F230" s="305" t="str">
        <f t="shared" si="88"/>
        <v>OK</v>
      </c>
      <c r="G230" s="305" t="str">
        <f t="shared" si="88"/>
        <v>OK</v>
      </c>
      <c r="H230" s="305" t="str">
        <f t="shared" si="88"/>
        <v>OK</v>
      </c>
    </row>
    <row r="231" ht="14.25" customHeight="1"/>
    <row r="232" ht="21.75" customHeight="1">
      <c r="B232" s="103" t="s">
        <v>1632</v>
      </c>
      <c r="C232" s="4"/>
      <c r="D232" s="4"/>
      <c r="E232" s="4"/>
      <c r="F232" s="4"/>
      <c r="G232" s="4"/>
      <c r="H232" s="4"/>
      <c r="I232" s="4"/>
      <c r="J232" s="4"/>
      <c r="K232" s="4"/>
      <c r="L232" s="4"/>
      <c r="M232" s="4"/>
      <c r="N232" s="4"/>
      <c r="O232" s="4"/>
      <c r="P232" s="6"/>
    </row>
    <row r="233" ht="21.75" customHeight="1">
      <c r="B233" s="51" t="s">
        <v>1633</v>
      </c>
      <c r="C233" s="51" t="s">
        <v>122</v>
      </c>
      <c r="D233" s="51" t="s">
        <v>123</v>
      </c>
      <c r="E233" s="52" t="s">
        <v>1634</v>
      </c>
      <c r="F233" s="39"/>
      <c r="G233" s="39"/>
      <c r="H233" s="40"/>
    </row>
    <row r="234" ht="16.5" customHeight="1">
      <c r="B234" s="55" t="s">
        <v>1635</v>
      </c>
      <c r="C234" s="306">
        <v>0.28</v>
      </c>
      <c r="D234" s="16" t="s">
        <v>665</v>
      </c>
      <c r="E234" s="146" t="s">
        <v>1636</v>
      </c>
      <c r="F234" s="39"/>
      <c r="G234" s="39"/>
      <c r="H234" s="40"/>
    </row>
    <row r="235" ht="16.5" customHeight="1">
      <c r="B235" s="55" t="s">
        <v>1637</v>
      </c>
      <c r="C235" s="306">
        <v>0.08</v>
      </c>
      <c r="D235" s="16" t="s">
        <v>665</v>
      </c>
      <c r="E235" s="146" t="s">
        <v>1638</v>
      </c>
      <c r="F235" s="39"/>
      <c r="G235" s="39"/>
      <c r="H235" s="40"/>
    </row>
    <row r="236" ht="16.5" customHeight="1">
      <c r="B236" s="55" t="s">
        <v>1639</v>
      </c>
      <c r="C236" s="306">
        <v>0.05</v>
      </c>
      <c r="D236" s="16" t="s">
        <v>665</v>
      </c>
      <c r="E236" s="146" t="s">
        <v>1640</v>
      </c>
      <c r="F236" s="39"/>
      <c r="G236" s="39"/>
      <c r="H236" s="40"/>
    </row>
    <row r="237" ht="16.5" customHeight="1">
      <c r="B237" s="55" t="s">
        <v>1641</v>
      </c>
      <c r="C237" s="306">
        <v>1.0</v>
      </c>
      <c r="D237" s="16" t="s">
        <v>665</v>
      </c>
      <c r="E237" s="146" t="s">
        <v>1642</v>
      </c>
      <c r="F237" s="39"/>
      <c r="G237" s="39"/>
      <c r="H237" s="40"/>
    </row>
    <row r="238" ht="16.5" customHeight="1">
      <c r="B238" s="55" t="s">
        <v>1643</v>
      </c>
      <c r="C238" s="306">
        <v>0.1</v>
      </c>
      <c r="D238" s="16" t="s">
        <v>665</v>
      </c>
      <c r="E238" s="146" t="s">
        <v>1644</v>
      </c>
      <c r="F238" s="39"/>
      <c r="G238" s="39"/>
      <c r="H238" s="40"/>
    </row>
    <row r="239" ht="30.0" customHeight="1">
      <c r="B239" s="55" t="s">
        <v>1645</v>
      </c>
      <c r="C239" s="307">
        <v>40.14</v>
      </c>
      <c r="D239" s="16" t="s">
        <v>1646</v>
      </c>
      <c r="E239" s="146" t="s">
        <v>1647</v>
      </c>
      <c r="F239" s="39"/>
      <c r="G239" s="39"/>
      <c r="H239" s="40"/>
    </row>
    <row r="240" ht="14.25" customHeight="1"/>
    <row r="241" ht="30.0" customHeight="1">
      <c r="B241" s="51" t="s">
        <v>1648</v>
      </c>
      <c r="C241" s="51" t="s">
        <v>165</v>
      </c>
      <c r="D241" s="51" t="s">
        <v>166</v>
      </c>
      <c r="E241" s="51" t="s">
        <v>167</v>
      </c>
      <c r="F241" s="51" t="s">
        <v>168</v>
      </c>
      <c r="G241" s="51" t="s">
        <v>169</v>
      </c>
      <c r="H241" s="51" t="s">
        <v>1649</v>
      </c>
      <c r="J241" s="52" t="s">
        <v>1650</v>
      </c>
      <c r="K241" s="40"/>
      <c r="L241" s="51" t="s">
        <v>165</v>
      </c>
      <c r="M241" s="51" t="s">
        <v>166</v>
      </c>
      <c r="N241" s="51" t="s">
        <v>167</v>
      </c>
      <c r="O241" s="51" t="s">
        <v>168</v>
      </c>
      <c r="P241" s="51" t="s">
        <v>169</v>
      </c>
    </row>
    <row r="242" ht="14.25" customHeight="1">
      <c r="B242" s="55" t="s">
        <v>1651</v>
      </c>
      <c r="C242" s="114">
        <f t="shared" ref="C242:G242" si="89">L213</f>
        <v>0.09502216663</v>
      </c>
      <c r="D242" s="114">
        <f t="shared" si="89"/>
        <v>0.09291884783</v>
      </c>
      <c r="E242" s="114">
        <f t="shared" si="89"/>
        <v>0.09211590317</v>
      </c>
      <c r="F242" s="114">
        <f t="shared" si="89"/>
        <v>0.09115833852</v>
      </c>
      <c r="G242" s="114">
        <f t="shared" si="89"/>
        <v>0.09020077387</v>
      </c>
      <c r="H242" s="308">
        <f t="shared" ref="H242:H249" si="91">MIN(C242:G242)</f>
        <v>0.09020077387</v>
      </c>
      <c r="J242" s="141" t="s">
        <v>1652</v>
      </c>
      <c r="K242" s="40"/>
      <c r="L242" s="111">
        <f t="shared" ref="L242:P242" si="90">L206</f>
        <v>2565405.55</v>
      </c>
      <c r="M242" s="111">
        <f t="shared" si="90"/>
        <v>3087842.702</v>
      </c>
      <c r="N242" s="111">
        <f t="shared" si="90"/>
        <v>3826449.45</v>
      </c>
      <c r="O242" s="111">
        <f t="shared" si="90"/>
        <v>3786672.684</v>
      </c>
      <c r="P242" s="111">
        <f t="shared" si="90"/>
        <v>3746895.917</v>
      </c>
    </row>
    <row r="243" ht="14.25" customHeight="1">
      <c r="B243" s="55" t="s">
        <v>1653</v>
      </c>
      <c r="C243" s="114">
        <f>((L242+L244-'Task 3_P&amp;L'!$C$99)-MAX(0,(L242+L244-'Task 3_P&amp;L'!$C$99))*'Task 3_P&amp;L'!$C$98)/(L243)</f>
        <v>0.09106949225</v>
      </c>
      <c r="D243" s="114">
        <f>((M242+M244-'Task 3_P&amp;L'!$C$99)-MAX(0,(M242+M244-'Task 3_P&amp;L'!$C$99))*'Task 3_P&amp;L'!$C$98)/(M243)</f>
        <v>0.08592381195</v>
      </c>
      <c r="E243" s="114">
        <f>((N242+N244-'Task 3_P&amp;L'!$C$99)-MAX(0,(N242+N244-'Task 3_P&amp;L'!$C$99))*'Task 3_P&amp;L'!$C$98)/(N243)</f>
        <v>0.08278918867</v>
      </c>
      <c r="F243" s="114">
        <f>((O242+O244-'Task 3_P&amp;L'!$C$99)-MAX(0,(O242+O244-'Task 3_P&amp;L'!$C$99))*'Task 3_P&amp;L'!$C$98)/(O243)</f>
        <v>0.08154016419</v>
      </c>
      <c r="G243" s="114">
        <f>((P242+P244-'Task 3_P&amp;L'!$C$99)-MAX(0,(P242+P244-'Task 3_P&amp;L'!$C$99))*'Task 3_P&amp;L'!$C$98)/(P243)</f>
        <v>0.08029113971</v>
      </c>
      <c r="H243" s="308">
        <f t="shared" si="91"/>
        <v>0.08029113971</v>
      </c>
      <c r="J243" s="141" t="s">
        <v>1654</v>
      </c>
      <c r="K243" s="40"/>
      <c r="L243" s="111">
        <f t="shared" ref="L243:P243" si="92">D129</f>
        <v>21598375.54</v>
      </c>
      <c r="M243" s="111">
        <f t="shared" si="92"/>
        <v>26585286.18</v>
      </c>
      <c r="N243" s="111">
        <f t="shared" si="92"/>
        <v>33231607.73</v>
      </c>
      <c r="O243" s="111">
        <f t="shared" si="92"/>
        <v>33231607.73</v>
      </c>
      <c r="P243" s="111">
        <f t="shared" si="92"/>
        <v>33231607.73</v>
      </c>
    </row>
    <row r="244" ht="14.25" customHeight="1">
      <c r="B244" s="55" t="s">
        <v>1655</v>
      </c>
      <c r="C244" s="114">
        <f>((L242+L245-'Task 3_P&amp;L'!$C$99)-MAX(0,(L242+L245-'Task 3_P&amp;L'!$C$99))*'Task 3_P&amp;L'!$C$98)/(L243)</f>
        <v>0.09272266753</v>
      </c>
      <c r="D244" s="114">
        <f>((M242+M245-'Task 3_P&amp;L'!$C$99)-MAX(0,(M242+M245-'Task 3_P&amp;L'!$C$99))*'Task 3_P&amp;L'!$C$98)/(M243)</f>
        <v>0.08884943124</v>
      </c>
      <c r="E244" s="114">
        <f>((N242+N245-'Task 3_P&amp;L'!$C$99)-MAX(0,(N242+N245-'Task 3_P&amp;L'!$C$99))*'Task 3_P&amp;L'!$C$98)/(N243)</f>
        <v>0.08669001438</v>
      </c>
      <c r="F244" s="114">
        <f>((O242+O245-'Task 3_P&amp;L'!$C$99)-MAX(0,(O242+O245-'Task 3_P&amp;L'!$C$99))*'Task 3_P&amp;L'!$C$98)/(O243)</f>
        <v>0.08556289071</v>
      </c>
      <c r="G244" s="114">
        <f>((P242+P245-'Task 3_P&amp;L'!$C$99)-MAX(0,(P242+P245-'Task 3_P&amp;L'!$C$99))*'Task 3_P&amp;L'!$C$98)/(P243)</f>
        <v>0.08443576703</v>
      </c>
      <c r="H244" s="308">
        <f t="shared" si="91"/>
        <v>0.08443576703</v>
      </c>
      <c r="J244" s="141" t="s">
        <v>1656</v>
      </c>
      <c r="K244" s="40"/>
      <c r="L244" s="111">
        <f>-L136*D150*'ESG_CAPEX OPEX'!$B$10/'ESG_CAPEX OPEX'!$B$8*'Task 3_P&amp;L'!$C$85*$C$234/'Task 3_P&amp;L'!$C$83</f>
        <v>-106714.1821</v>
      </c>
      <c r="M244" s="111">
        <f>-M136*E150*'ESG_CAPEX OPEX'!$B$10/'ESG_CAPEX OPEX'!$B$8*'Task 3_P&amp;L'!$C$85*$C$234/'Task 3_P&amp;L'!$C$83</f>
        <v>-232456.2882</v>
      </c>
      <c r="N244" s="111">
        <f>-N136*F150*'ESG_CAPEX OPEX'!$B$10/'ESG_CAPEX OPEX'!$B$8*'Task 3_P&amp;L'!$C$85*$C$234/'Task 3_P&amp;L'!$C$83</f>
        <v>-387427.1471</v>
      </c>
      <c r="O244" s="111">
        <f>-O136*G150*'ESG_CAPEX OPEX'!$B$10/'ESG_CAPEX OPEX'!$B$8*'Task 3_P&amp;L'!$C$85*$C$234/'Task 3_P&amp;L'!$C$83</f>
        <v>-399534.2454</v>
      </c>
      <c r="P244" s="111">
        <f>-P136*H150*'ESG_CAPEX OPEX'!$B$10/'ESG_CAPEX OPEX'!$B$8*'Task 3_P&amp;L'!$C$85*$C$234/'Task 3_P&amp;L'!$C$83</f>
        <v>-411641.3438</v>
      </c>
    </row>
    <row r="245" ht="14.25" customHeight="1">
      <c r="B245" s="55" t="s">
        <v>1657</v>
      </c>
      <c r="C245" s="114">
        <f>((L242+L246-'Task 3_P&amp;L'!$C$99)-MAX(0,(L242+L246-'Task 3_P&amp;L'!$C$99))*'Task 3_P&amp;L'!$C$98)/(L243)</f>
        <v>0.09457070914</v>
      </c>
      <c r="D245" s="114">
        <f>((M242+M246-'Task 3_P&amp;L'!$C$99)-MAX(0,(M242+M246-'Task 3_P&amp;L'!$C$99))*'Task 3_P&amp;L'!$C$98)/(M243)</f>
        <v>0.09214639089</v>
      </c>
      <c r="E245" s="114">
        <f>((N242+N246-'Task 3_P&amp;L'!$C$99)-MAX(0,(N242+N246-'Task 3_P&amp;L'!$C$99))*'Task 3_P&amp;L'!$C$98)/(N243)</f>
        <v>0.09110416495</v>
      </c>
      <c r="F245" s="114">
        <f>((O242+O246-'Task 3_P&amp;L'!$C$99)-MAX(0,(O242+O246-'Task 3_P&amp;L'!$C$99))*'Task 3_P&amp;L'!$C$98)/(O243)</f>
        <v>0.09011692372</v>
      </c>
      <c r="G245" s="114">
        <f>((P242+P246-'Task 3_P&amp;L'!$C$99)-MAX(0,(P242+P246-'Task 3_P&amp;L'!$C$99))*'Task 3_P&amp;L'!$C$98)/(P243)</f>
        <v>0.08912968249</v>
      </c>
      <c r="H245" s="308">
        <f t="shared" si="91"/>
        <v>0.08912968249</v>
      </c>
      <c r="J245" s="141" t="s">
        <v>1658</v>
      </c>
      <c r="K245" s="40"/>
      <c r="L245" s="111">
        <f>-(1/(1-$C$235)-1)*(L136*D150*'Task 3_P&amp;L'!$N$43+D178*('Task 3_P&amp;L'!$C$87+'Task 3_P&amp;L'!$C$88))/'Task 3_P&amp;L'!$C$83</f>
        <v>-62081.8064</v>
      </c>
      <c r="M245" s="111">
        <f>-(1/(1-$C$235)-1)*(M136*E150*'Task 3_P&amp;L'!$N$43+E178*('Task 3_P&amp;L'!$C$87+'Task 3_P&amp;L'!$C$88))/'Task 3_P&amp;L'!$C$83</f>
        <v>-135233.2558</v>
      </c>
      <c r="N245" s="111">
        <f>-(1/(1-$C$235)-1)*(N136*F150*'Task 3_P&amp;L'!$N$43+F178*('Task 3_P&amp;L'!$C$87+'Task 3_P&amp;L'!$C$88))/'Task 3_P&amp;L'!$C$83</f>
        <v>-225388.7596</v>
      </c>
      <c r="O245" s="111">
        <f>-(1/(1-$C$235)-1)*(O136*G150*'Task 3_P&amp;L'!$N$43+G178*('Task 3_P&amp;L'!$C$87+'Task 3_P&amp;L'!$C$88))/'Task 3_P&amp;L'!$C$83</f>
        <v>-232432.1583</v>
      </c>
      <c r="P245" s="111">
        <f>-(1/(1-$C$235)-1)*(P136*H150*'Task 3_P&amp;L'!$N$43+H178*('Task 3_P&amp;L'!$C$87+'Task 3_P&amp;L'!$C$88))/'Task 3_P&amp;L'!$C$83</f>
        <v>-239475.5571</v>
      </c>
    </row>
    <row r="246" ht="14.25" customHeight="1">
      <c r="B246" s="55" t="s">
        <v>1659</v>
      </c>
      <c r="C246" s="114">
        <f>((L242+L248-'Task 3_P&amp;L'!$C$99)-MAX(0,(L242+L248-'Task 3_P&amp;L'!$C$99))*'Task 3_P&amp;L'!$C$98)/(L243+L247)</f>
        <v>0.08233065312</v>
      </c>
      <c r="D246" s="114">
        <f>((M242+M248-'Task 3_P&amp;L'!$C$99)-MAX(0,(M242+M248-'Task 3_P&amp;L'!$C$99))*'Task 3_P&amp;L'!$C$98)/(M243+M247)</f>
        <v>0.08018731155</v>
      </c>
      <c r="E246" s="114">
        <f>((N242+N248-'Task 3_P&amp;L'!$C$99)-MAX(0,(N242+N248-'Task 3_P&amp;L'!$C$99))*'Task 3_P&amp;L'!$C$98)/(N243+N247)</f>
        <v>0.07936908814</v>
      </c>
      <c r="F246" s="114">
        <f>((O242+O248-'Task 3_P&amp;L'!$C$99)-MAX(0,(O242+O248-'Task 3_P&amp;L'!$C$99))*'Task 3_P&amp;L'!$C$98)/(O243+O247)</f>
        <v>0.07839330258</v>
      </c>
      <c r="G246" s="114">
        <f>((P242+P248-'Task 3_P&amp;L'!$C$99)-MAX(0,(P242+P248-'Task 3_P&amp;L'!$C$99))*'Task 3_P&amp;L'!$C$98)/(P243+P247)</f>
        <v>0.07741751702</v>
      </c>
      <c r="H246" s="308">
        <f t="shared" si="91"/>
        <v>0.07741751702</v>
      </c>
      <c r="J246" s="141" t="s">
        <v>1660</v>
      </c>
      <c r="K246" s="40"/>
      <c r="L246" s="111">
        <f t="shared" ref="L246:P246" si="93">-L192*(1/(1-$C$236)-1)</f>
        <v>-12188.43551</v>
      </c>
      <c r="M246" s="111">
        <f t="shared" si="93"/>
        <v>-25669.98596</v>
      </c>
      <c r="N246" s="111">
        <f t="shared" si="93"/>
        <v>-42027.10939</v>
      </c>
      <c r="O246" s="111">
        <f t="shared" si="93"/>
        <v>-43259.86002</v>
      </c>
      <c r="P246" s="111">
        <f t="shared" si="93"/>
        <v>-44492.61065</v>
      </c>
    </row>
    <row r="247" ht="14.25" customHeight="1">
      <c r="B247" s="55" t="s">
        <v>1661</v>
      </c>
      <c r="C247" s="114">
        <f>((L242+L250-'Task 3_P&amp;L'!$C$99)-MAX(0,(L242+L250-'Task 3_P&amp;L'!$C$99))*'Task 3_P&amp;L'!$C$98)/(L243+L249)</f>
        <v>0.09239510443</v>
      </c>
      <c r="D247" s="114">
        <f>((M242+M250-'Task 3_P&amp;L'!$C$99)-MAX(0,(M242+M250-'Task 3_P&amp;L'!$C$99))*'Task 3_P&amp;L'!$C$98)/(M243+M249)</f>
        <v>0.0907120524</v>
      </c>
      <c r="E247" s="114">
        <f>((N242+N250-'Task 3_P&amp;L'!$C$99)-MAX(0,(N242+N250-'Task 3_P&amp;L'!$C$99))*'Task 3_P&amp;L'!$C$98)/(N243+N249)</f>
        <v>0.09032109614</v>
      </c>
      <c r="F247" s="114">
        <f>((O242+O250-'Task 3_P&amp;L'!$C$99)-MAX(0,(O242+O250-'Task 3_P&amp;L'!$C$99))*'Task 3_P&amp;L'!$C$98)/(O243+O249)</f>
        <v>0.08931978598</v>
      </c>
      <c r="G247" s="114">
        <f>((P242+P250-'Task 3_P&amp;L'!$C$99)-MAX(0,(P242+P250-'Task 3_P&amp;L'!$C$99))*'Task 3_P&amp;L'!$C$98)/(P243+P249)</f>
        <v>0.08831847582</v>
      </c>
      <c r="H247" s="308">
        <f t="shared" si="91"/>
        <v>0.08831847582</v>
      </c>
      <c r="J247" s="141" t="s">
        <v>1662</v>
      </c>
      <c r="K247" s="40"/>
      <c r="L247" s="111">
        <f>-D122*('Task 4_ESG vs Traditional'!$C$94-'Task 4_ESG vs Traditional'!$C$95)*$C$237</f>
        <v>-403307.9855</v>
      </c>
      <c r="M247" s="111">
        <f>-E122*('Task 4_ESG vs Traditional'!$C$94-'Task 4_ESG vs Traditional'!$C$95)*$C$237</f>
        <v>-496428.9186</v>
      </c>
      <c r="N247" s="111">
        <f>-F122*('Task 4_ESG vs Traditional'!$C$94-'Task 4_ESG vs Traditional'!$C$95)*$C$237</f>
        <v>-620536.1482</v>
      </c>
      <c r="O247" s="111">
        <f>-G122*('Task 4_ESG vs Traditional'!$C$94-'Task 4_ESG vs Traditional'!$C$95)*$C$237</f>
        <v>-620536.1482</v>
      </c>
      <c r="P247" s="111">
        <f>-H122*('Task 4_ESG vs Traditional'!$C$94-'Task 4_ESG vs Traditional'!$C$95)*$C$237</f>
        <v>-620536.1482</v>
      </c>
    </row>
    <row r="248" ht="14.25" customHeight="1">
      <c r="B248" s="55" t="s">
        <v>1663</v>
      </c>
      <c r="C248" s="114">
        <f>((L242+L251-'Task 3_P&amp;L'!$C$99)-MAX(0,(L242+L251-'Task 3_P&amp;L'!$C$99))*'Task 3_P&amp;L'!$C$98)/(L243)</f>
        <v>0.09502216663</v>
      </c>
      <c r="D248" s="114">
        <f>((M242+M251-'Task 3_P&amp;L'!$C$99)-MAX(0,(M242+M251-'Task 3_P&amp;L'!$C$99))*'Task 3_P&amp;L'!$C$98)/(M243)</f>
        <v>0.09291884783</v>
      </c>
      <c r="E248" s="114">
        <f>((N242+N251-'Task 3_P&amp;L'!$C$99)-MAX(0,(N242+N251-'Task 3_P&amp;L'!$C$99))*'Task 3_P&amp;L'!$C$98)/(N243)</f>
        <v>0.09211590317</v>
      </c>
      <c r="F248" s="114">
        <f>((O242+O251-'Task 3_P&amp;L'!$C$99)-MAX(0,(O242+O251-'Task 3_P&amp;L'!$C$99))*'Task 3_P&amp;L'!$C$98)/(O243)</f>
        <v>0.09048424382</v>
      </c>
      <c r="G248" s="114">
        <f>((P242+P251-'Task 3_P&amp;L'!$C$99)-MAX(0,(P242+P251-'Task 3_P&amp;L'!$C$99))*'Task 3_P&amp;L'!$C$98)/(P243)</f>
        <v>0.08885258447</v>
      </c>
      <c r="H248" s="308">
        <f t="shared" si="91"/>
        <v>0.08885258447</v>
      </c>
      <c r="J248" s="141" t="s">
        <v>1664</v>
      </c>
      <c r="K248" s="40"/>
      <c r="L248" s="111">
        <f>L247*(1-'Task 3_P&amp;L'!$C$95-'Task 3_P&amp;L'!$C$96*(1-'Task 3_P&amp;L'!$C$97))</f>
        <v>-384150.8562</v>
      </c>
      <c r="M248" s="111">
        <f>M247*(1-'Task 3_P&amp;L'!$C$95-'Task 3_P&amp;L'!$C$96*(1-'Task 3_P&amp;L'!$C$97))</f>
        <v>-472848.5449</v>
      </c>
      <c r="N248" s="111">
        <f>N247*(1-'Task 3_P&amp;L'!$C$95-'Task 3_P&amp;L'!$C$96*(1-'Task 3_P&amp;L'!$C$97))</f>
        <v>-591060.6812</v>
      </c>
      <c r="O248" s="111">
        <f>O247*(1-'Task 3_P&amp;L'!$C$95-'Task 3_P&amp;L'!$C$96*(1-'Task 3_P&amp;L'!$C$97))</f>
        <v>-591060.6812</v>
      </c>
      <c r="P248" s="111">
        <f>P247*(1-'Task 3_P&amp;L'!$C$95-'Task 3_P&amp;L'!$C$96*(1-'Task 3_P&amp;L'!$C$97))</f>
        <v>-591060.6812</v>
      </c>
    </row>
    <row r="249" ht="14.25" customHeight="1">
      <c r="B249" s="78" t="s">
        <v>1665</v>
      </c>
      <c r="C249" s="135">
        <f>((L242+L252-'Task 3_P&amp;L'!$C$99)-MAX(0,(L242+L252-'Task 3_P&amp;L'!$C$99))*'Task 3_P&amp;L'!$C$98)/(L243+L253)</f>
        <v>0.070601591</v>
      </c>
      <c r="D249" s="135">
        <f>((M242+M252-'Task 3_P&amp;L'!$C$99)-MAX(0,(M242+M252-'Task 3_P&amp;L'!$C$99))*'Task 3_P&amp;L'!$C$98)/(M243+M253)</f>
        <v>0.06305839104</v>
      </c>
      <c r="E249" s="135">
        <f>((N242+N252-'Task 3_P&amp;L'!$C$99)-MAX(0,(N242+N252-'Task 3_P&amp;L'!$C$99))*'Task 3_P&amp;L'!$C$98)/(N243+N253)</f>
        <v>0.0582028799</v>
      </c>
      <c r="F249" s="135">
        <f>((O242+O252-'Task 3_P&amp;L'!$C$99)-MAX(0,(O242+O252-'Task 3_P&amp;L'!$C$99))*'Task 3_P&amp;L'!$C$98)/(O243+O253)</f>
        <v>0.05585872224</v>
      </c>
      <c r="G249" s="135">
        <f>((P242+P252-'Task 3_P&amp;L'!$C$99)-MAX(0,(P242+P252-'Task 3_P&amp;L'!$C$99))*'Task 3_P&amp;L'!$C$98)/(P243+P253)</f>
        <v>0.05351456457</v>
      </c>
      <c r="H249" s="135">
        <f t="shared" si="91"/>
        <v>0.05351456457</v>
      </c>
      <c r="J249" s="141" t="s">
        <v>1666</v>
      </c>
      <c r="K249" s="40"/>
      <c r="L249" s="111">
        <f t="shared" ref="L249:P249" si="94">-$C$238*D129</f>
        <v>-2159837.554</v>
      </c>
      <c r="M249" s="111">
        <f t="shared" si="94"/>
        <v>-2658528.618</v>
      </c>
      <c r="N249" s="111">
        <f t="shared" si="94"/>
        <v>-3323160.773</v>
      </c>
      <c r="O249" s="111">
        <f t="shared" si="94"/>
        <v>-3323160.773</v>
      </c>
      <c r="P249" s="111">
        <f t="shared" si="94"/>
        <v>-3323160.773</v>
      </c>
    </row>
    <row r="250" ht="14.25" customHeight="1">
      <c r="B250" s="55" t="s">
        <v>1667</v>
      </c>
      <c r="C250" s="285">
        <f t="shared" ref="C250:G250" si="95">D114</f>
        <v>-0.1</v>
      </c>
      <c r="D250" s="285">
        <f t="shared" si="95"/>
        <v>-0.08</v>
      </c>
      <c r="E250" s="285">
        <f t="shared" si="95"/>
        <v>0</v>
      </c>
      <c r="F250" s="285">
        <f t="shared" si="95"/>
        <v>0</v>
      </c>
      <c r="G250" s="285">
        <f t="shared" si="95"/>
        <v>0</v>
      </c>
      <c r="H250" s="53"/>
      <c r="J250" s="141" t="s">
        <v>1668</v>
      </c>
      <c r="K250" s="40"/>
      <c r="L250" s="111">
        <f>-$C$238*(D129*(1-'Task 3_P&amp;L'!$C$95-'Task 3_P&amp;L'!$C$96*(1-'Task 3_P&amp;L'!$C$97))-L129-L178)</f>
        <v>-320373.3656</v>
      </c>
      <c r="M250" s="111">
        <f>-$C$238*(E129*(1-'Task 3_P&amp;L'!$C$95-'Task 3_P&amp;L'!$C$96*(1-'Task 3_P&amp;L'!$C$97))-M129-M178)</f>
        <v>-374786.0943</v>
      </c>
      <c r="N250" s="111">
        <f>-$C$238*(F129*(1-'Task 3_P&amp;L'!$C$95-'Task 3_P&amp;L'!$C$96*(1-'Task 3_P&amp;L'!$C$97))-N129-N178)</f>
        <v>-449744.8083</v>
      </c>
      <c r="O250" s="111">
        <f>-$C$238*(G129*(1-'Task 3_P&amp;L'!$C$95-'Task 3_P&amp;L'!$C$96*(1-'Task 3_P&amp;L'!$C$97))-O129-O178)</f>
        <v>-447402.5821</v>
      </c>
      <c r="P250" s="111">
        <f>-$C$238*(H129*(1-'Task 3_P&amp;L'!$C$95-'Task 3_P&amp;L'!$C$96*(1-'Task 3_P&amp;L'!$C$97))-P129-P178)</f>
        <v>-445060.3559</v>
      </c>
    </row>
    <row r="251" ht="14.25" customHeight="1">
      <c r="B251" s="73" t="s">
        <v>1669</v>
      </c>
      <c r="C251" s="77" t="str">
        <f t="shared" ref="C251:G251" si="96">IF(D115="≥",IF(C249&gt;=C250,"PASS","FAIL"),IF(C249&gt;C250,"PASS","FAIL"))</f>
        <v>PASS</v>
      </c>
      <c r="D251" s="77" t="str">
        <f t="shared" si="96"/>
        <v>PASS</v>
      </c>
      <c r="E251" s="77" t="str">
        <f t="shared" si="96"/>
        <v>PASS</v>
      </c>
      <c r="F251" s="77" t="str">
        <f t="shared" si="96"/>
        <v>PASS</v>
      </c>
      <c r="G251" s="77" t="str">
        <f t="shared" si="96"/>
        <v>PASS</v>
      </c>
      <c r="H251" s="53"/>
      <c r="J251" s="141" t="s">
        <v>1670</v>
      </c>
      <c r="K251" s="40"/>
      <c r="L251" s="111">
        <f t="shared" ref="L251:P251" si="97">-D157*($C$239-$C$29)</f>
        <v>0</v>
      </c>
      <c r="M251" s="111">
        <f t="shared" si="97"/>
        <v>0</v>
      </c>
      <c r="N251" s="111">
        <f t="shared" si="97"/>
        <v>0</v>
      </c>
      <c r="O251" s="111">
        <f t="shared" si="97"/>
        <v>-28001.56314</v>
      </c>
      <c r="P251" s="111">
        <f t="shared" si="97"/>
        <v>-56003.12629</v>
      </c>
    </row>
    <row r="252" ht="31.5" customHeight="1">
      <c r="B252" s="55" t="s">
        <v>1671</v>
      </c>
      <c r="C252" s="70">
        <f>(L242-'Task 3_P&amp;L'!$C$99-C250*L243)/(D122*((1-'Task 3_P&amp;L'!$C$95-'Task 3_P&amp;L'!$C$96*(1-'Task 3_P&amp;L'!$C$97))-C250))/L122</f>
        <v>0.207864806</v>
      </c>
      <c r="D252" s="70">
        <f>(M242-'Task 3_P&amp;L'!$C$99-D250*M243)/(E122*((1-'Task 3_P&amp;L'!$C$95-'Task 3_P&amp;L'!$C$96*(1-'Task 3_P&amp;L'!$C$97))-D250))/M122</f>
        <v>0.189974392</v>
      </c>
      <c r="E252" s="70">
        <f>(N242-'Task 3_P&amp;L'!$C$99-E250*N243)/(F122*((1-'Task 3_P&amp;L'!$C$95-'Task 3_P&amp;L'!$C$96*(1-'Task 3_P&amp;L'!$C$97))-E250))/N122</f>
        <v>0.120887012</v>
      </c>
      <c r="F252" s="70">
        <f>(O242-'Task 3_P&amp;L'!$C$99-F250*O243)/(G122*((1-'Task 3_P&amp;L'!$C$95-'Task 3_P&amp;L'!$C$96*(1-'Task 3_P&amp;L'!$C$97))-F250))/O122</f>
        <v>0.1196303655</v>
      </c>
      <c r="G252" s="70">
        <f>(P242-'Task 3_P&amp;L'!$C$99-G250*P243)/(H122*((1-'Task 3_P&amp;L'!$C$95-'Task 3_P&amp;L'!$C$96*(1-'Task 3_P&amp;L'!$C$97))-G250))/P122</f>
        <v>0.118373719</v>
      </c>
      <c r="H252" s="75">
        <f>MIN(C252:G252)</f>
        <v>0.118373719</v>
      </c>
      <c r="J252" s="309" t="s">
        <v>1672</v>
      </c>
      <c r="K252" s="40"/>
      <c r="L252" s="110">
        <f t="shared" ref="L252:P252" si="98">L244+L245+L246+L248+L250+L251</f>
        <v>-885508.6457</v>
      </c>
      <c r="M252" s="110">
        <f t="shared" si="98"/>
        <v>-1240994.169</v>
      </c>
      <c r="N252" s="110">
        <f t="shared" si="98"/>
        <v>-1695648.505</v>
      </c>
      <c r="O252" s="110">
        <f t="shared" si="98"/>
        <v>-1741691.09</v>
      </c>
      <c r="P252" s="110">
        <f t="shared" si="98"/>
        <v>-1787733.675</v>
      </c>
    </row>
    <row r="253" ht="14.25" customHeight="1">
      <c r="J253" s="141" t="s">
        <v>1673</v>
      </c>
      <c r="K253" s="40"/>
      <c r="L253" s="111">
        <f t="shared" ref="L253:P253" si="99">L247+L249</f>
        <v>-2563145.54</v>
      </c>
      <c r="M253" s="111">
        <f t="shared" si="99"/>
        <v>-3154957.537</v>
      </c>
      <c r="N253" s="111">
        <f t="shared" si="99"/>
        <v>-3943696.921</v>
      </c>
      <c r="O253" s="111">
        <f t="shared" si="99"/>
        <v>-3943696.921</v>
      </c>
      <c r="P253" s="111">
        <f t="shared" si="99"/>
        <v>-3943696.921</v>
      </c>
    </row>
    <row r="254" ht="14.25" customHeight="1"/>
    <row r="255" ht="21.75" customHeight="1">
      <c r="B255" s="50" t="s">
        <v>1674</v>
      </c>
      <c r="C255" s="39"/>
      <c r="D255" s="39"/>
      <c r="E255" s="39"/>
      <c r="F255" s="39"/>
      <c r="G255" s="39"/>
      <c r="H255" s="39"/>
      <c r="I255" s="39"/>
      <c r="J255" s="39"/>
      <c r="K255" s="39"/>
      <c r="L255" s="39"/>
      <c r="M255" s="39"/>
      <c r="N255" s="39"/>
      <c r="O255" s="39"/>
      <c r="P255" s="40"/>
    </row>
    <row r="256" ht="33.0" customHeight="1">
      <c r="B256" s="170" t="str">
        <f>"1. Phasing: front-load. Commission Tranche 1 (USD "&amp;TEXT('Task 1_ESG Roadmap'!C89,"#,##0")&amp;", "&amp;TEXT('Task 1_ESG Roadmap'!C89/'Task 1_ESG Roadmap'!$C$107,"0.0%")&amp;" of the envelope: firing core plus metering and traceability) for biomass firing from 1 April 2027, and Tranche 2 (condensate recovery, USD "&amp;TEXT('Task 1_ESG Roadmap'!C90,"#,##0")&amp;") in 2028. All four options share this phasing; delaying it (Task 4) breaches the buyer caps while on coal and forfeits USD "&amp;TEXT('Task 4_ESG vs Traditional'!I58/1000000,"0.0")&amp;"M to "&amp;TEXT('Task 4_ESG vs Traditional'!I59/1000000,"0.0")&amp;"M of revenue."</f>
        <v>1. Phasing: front-load. Commission Tranche 1 (USD 896,500, 95.3% of the envelope: firing core plus metering and traceability) for biomass firing from 1 April 2027, and Tranche 2 (condensate recovery, USD 44,000) in 2028. All four options share this phasing; delaying it (Task 4) breaches the buyer caps while on coal and forfeits USD 21.0M to 40.6M of revenue.</v>
      </c>
      <c r="C256" s="39"/>
      <c r="D256" s="39"/>
      <c r="E256" s="39"/>
      <c r="F256" s="39"/>
      <c r="G256" s="39"/>
      <c r="H256" s="39"/>
      <c r="I256" s="39"/>
      <c r="J256" s="39"/>
      <c r="K256" s="39"/>
      <c r="L256" s="39"/>
      <c r="M256" s="39"/>
      <c r="N256" s="39"/>
      <c r="O256" s="39"/>
      <c r="P256" s="40"/>
    </row>
    <row r="257" ht="48.0" customHeight="1">
      <c r="B257" s="170" t="str">
        <f>"2. Operating policy (A+H): run the Task 1 mix to 2029, then raise biomass to "&amp;TEXT(O143,"0.0%")&amp;" (2030) and "&amp;TEXT(P143,"0.0%")&amp;" (2031), half of the A+ step-up, and cover the other half with "&amp;TEXT(F50/C29,"#,##0")&amp;" t of A-AAA rated carbon credits (USD "&amp;TEXT(F50/1000,"#,##0")&amp;"k at USD "&amp;TEXT(C29,"0.00")&amp;"/t). Sales hold at "&amp;TEXT(H122/1000000,"0.00")&amp;"M pcs instead of falling to "&amp;TEXT(H119/1000000,"0.00")&amp;"M (Option A, 2031): +USD "&amp;TEXT((F41-C41)/1000000,"0.0")&amp;"M revenue and +USD "&amp;TEXT((F44-C44)/1000000,"0.00")&amp;"M net profit vs A. Credits cover at most "&amp;TEXT(F57,"0.0%")&amp;" of an annual cap, inside the "&amp;TEXT(C32,"0%")&amp;" offset limit."</f>
        <v>2. Operating policy (A+H): run the Task 1 mix to 2029, then raise biomass to 82.5% (2030) and 85.0% (2031), half of the A+ step-up, and cover the other half with 3,315 t of A-AAA rated carbon credits (USD 49k at USD 14.80/t). Sales hold at 8.65M pcs instead of falling to 6.13M (Option A, 2031): +USD 13.5M revenue and +USD 1.36M net profit vs A. Credits cover at most 21.6% of an annual cap, inside the 30% offset limit.</v>
      </c>
      <c r="C257" s="39"/>
      <c r="D257" s="39"/>
      <c r="E257" s="39"/>
      <c r="F257" s="39"/>
      <c r="G257" s="39"/>
      <c r="H257" s="39"/>
      <c r="I257" s="39"/>
      <c r="J257" s="39"/>
      <c r="K257" s="39"/>
      <c r="L257" s="39"/>
      <c r="M257" s="39"/>
      <c r="N257" s="39"/>
      <c r="O257" s="39"/>
      <c r="P257" s="40"/>
    </row>
    <row r="258" ht="48.0" customHeight="1">
      <c r="B258" s="166" t="str">
        <f>"3. Ranking: nine sub-criteria weighted objectively by CRITIC (largest weights: peak biomass "&amp;TEXT(L85,"0.0%")&amp;", cumulative FCF "&amp;TEXT(G85,"0.0%")&amp;", credit cost "&amp;TEXT(J85,"0.0%")&amp;", in-boundary CO2e cut "&amp;TEXT(K85,"0.0%")&amp;"), then ranked by TOPSIS: A+H "&amp;TEXT(F98,"0.0000")&amp;", A+ "&amp;TEXT(D98,"0.0000")&amp;", A+C "&amp;TEXT(E98,"0.0000")&amp;", A "&amp;TEXT(C98,"0.0000")&amp;". A+H is first even before the offset-limit gate (A+C fails it: "&amp;TEXT(E57,"0%")&amp;" of the 2031 cap). VIKOR with the same weights also picks "&amp;H99&amp;"; SAW picks "&amp;H100&amp;", because a fully compensatory sum lets A+ trade a zero on peak tonnage for full marks elsewhere. A+H wins on balance: half the extra biomass tonnage of A+, half the credit bill of A+C, and net profit and FCF above A+ while credits cost less than USD "&amp;TEXT(C34,"0.0")&amp;"/t."</f>
        <v>3. Ranking: nine sub-criteria weighted objectively by CRITIC (largest weights: peak biomass 15.2%, cumulative FCF 15.0%, credit cost 13.6%, in-boundary CO2e cut 12.6%), then ranked by TOPSIS: A+H 0.5750, A+ 0.5661, A+C 0.5468, A 0.5597. A+H is first even before the offset-limit gate (A+C fails it: 43% of the 2031 cap). VIKOR with the same weights also picks A+H; SAW picks A+, because a fully compensatory sum lets A+ trade a zero on peak tonnage for full marks elsewhere. A+H wins on balance: half the extra biomass tonnage of A+, half the credit bill of A+C, and net profit and FCF above A+ while credits cost less than USD 21.2/t.</v>
      </c>
      <c r="C258" s="39"/>
      <c r="D258" s="39"/>
      <c r="E258" s="39"/>
      <c r="F258" s="39"/>
      <c r="G258" s="39"/>
      <c r="H258" s="39"/>
      <c r="I258" s="39"/>
      <c r="J258" s="39"/>
      <c r="K258" s="39"/>
      <c r="L258" s="39"/>
      <c r="M258" s="39"/>
      <c r="N258" s="39"/>
      <c r="O258" s="39"/>
      <c r="P258" s="40"/>
    </row>
    <row r="259" ht="33.0" customHeight="1">
      <c r="B259" s="166" t="str">
        <f>"4. Cash flow: no new debt. Free cash flow under A+H is positive every year (lowest USD "&amp;TEXT(F48/1000000,"0.00")&amp;"M) and cumulative FCF reaches USD "&amp;TEXT(F47/1000000,"0.0")&amp;"M by 2031, after the working capital that growth needs and the credit purchases."</f>
        <v>4. Cash flow: no new debt. Free cash flow under A+H is positive every year (lowest USD 0.97M) and cumulative FCF reaches USD 11.4M by 2031, after the working capital that growth needs and the credit purchases.</v>
      </c>
      <c r="C259" s="39"/>
      <c r="D259" s="39"/>
      <c r="E259" s="39"/>
      <c r="F259" s="39"/>
      <c r="G259" s="39"/>
      <c r="H259" s="39"/>
      <c r="I259" s="39"/>
      <c r="J259" s="39"/>
      <c r="K259" s="39"/>
      <c r="L259" s="39"/>
      <c r="M259" s="39"/>
      <c r="N259" s="39"/>
      <c r="O259" s="39"/>
      <c r="P259" s="40"/>
    </row>
    <row r="260" ht="33.0" customHeight="1">
      <c r="B260" s="166" t="str">
        <f>"5. Profitability under stress: with all six shocks together (S6 prices credits at removal grade, USD "&amp;TEXT($C$239,"0")&amp;"/t) NPM stays at "&amp;TEXT(MIN(C249:G249),"0.0%")&amp;" or more, above every case floor; the EXW price would have to fall "&amp;TEXT(MIN(C252:G252),"0.0%")&amp;" before any floor is breached."</f>
        <v>5. Profitability under stress: with all six shocks together (S6 prices credits at removal grade, USD 40/t) NPM stays at 5.4% or more, above every case floor; the EXW price would have to fall 11.8% before any floor is breached.</v>
      </c>
      <c r="C260" s="39"/>
      <c r="D260" s="39"/>
      <c r="E260" s="39"/>
      <c r="F260" s="39"/>
      <c r="G260" s="39"/>
      <c r="H260" s="39"/>
      <c r="I260" s="39"/>
      <c r="J260" s="39"/>
      <c r="K260" s="39"/>
      <c r="L260" s="39"/>
      <c r="M260" s="39"/>
      <c r="N260" s="39"/>
      <c r="O260" s="39"/>
      <c r="P260" s="40"/>
    </row>
    <row r="261" ht="33.0" customHeight="1">
      <c r="B261" s="166" t="str">
        <f>"6. ESG compliance: net of counted credits, "&amp;TEXT(F56,"0")&amp;" of 5 years within both caps (headroom never below "&amp;TEXT(MIN(L164:P164),"0.0%")&amp;"). In-boundary, the 2031 reduction is "&amp;TEXT(F51,"0.0%")&amp;" vs the 64% target, so 2031 depends on credits. Report in-boundary and net CO2e separately (R07) and agree the use of quantified offsets (Emission Target B20) with LSC at the 2029 checkpoint, before any credit is bought."</f>
        <v>6. ESG compliance: net of counted credits, 5 of 5 years within both caps (headroom never below 8.6%). In-boundary, the 2031 reduction is 60.1% vs the 64% target, so 2031 depends on credits. Report in-boundary and net CO2e separately (R07) and agree the use of quantified offsets (Emission Target B20) with LSC at the 2029 checkpoint, before any credit is bought.</v>
      </c>
      <c r="C261" s="39"/>
      <c r="D261" s="39"/>
      <c r="E261" s="39"/>
      <c r="F261" s="39"/>
      <c r="G261" s="39"/>
      <c r="H261" s="39"/>
      <c r="I261" s="39"/>
      <c r="J261" s="39"/>
      <c r="K261" s="39"/>
      <c r="L261" s="39"/>
      <c r="M261" s="39"/>
      <c r="N261" s="39"/>
      <c r="O261" s="39"/>
      <c r="P261" s="40"/>
    </row>
    <row r="262" ht="48.0" customHeight="1">
      <c r="B262" s="166" t="str">
        <f>"7. Switch rule at the 2029 strategic checkpoint: if LSC does not accept offsets, or the credit price exceeds the break-even of USD "&amp;TEXT(C34,"0.0")&amp;"/t, or credits lack an A-AAA rating or ICVCM CCP label, complete the step-up to A+ ("&amp;TEXT(O141,"0%")&amp;" in 2030, "&amp;TEXT(P141,"0%")&amp;_LONGTEXT(" in 2031; no new CAPEX, the system is full biomass-capable). The step-up needs supplier OTIF ≥95% for four quarters, three approved suppliers with chain-of-custody evidence, moisture ≤12% and boiler efficiency ≥92% of the performance test; if those fail, ","TEXIN falls back to Option A, which is compliant and profitable.")</f>
        <v>#NAME?</v>
      </c>
      <c r="C262" s="39"/>
      <c r="D262" s="39"/>
      <c r="E262" s="39"/>
      <c r="F262" s="39"/>
      <c r="G262" s="39"/>
      <c r="H262" s="39"/>
      <c r="I262" s="39"/>
      <c r="J262" s="39"/>
      <c r="K262" s="39"/>
      <c r="L262" s="39"/>
      <c r="M262" s="39"/>
      <c r="N262" s="39"/>
      <c r="O262" s="39"/>
      <c r="P262" s="40"/>
    </row>
    <row r="263" ht="14.25" customHeight="1"/>
    <row r="264" ht="21.75" customHeight="1">
      <c r="B264" s="50" t="s">
        <v>1675</v>
      </c>
      <c r="C264" s="39"/>
      <c r="D264" s="39"/>
      <c r="E264" s="39"/>
      <c r="F264" s="39"/>
      <c r="G264" s="39"/>
      <c r="H264" s="39"/>
      <c r="I264" s="39"/>
      <c r="J264" s="39"/>
      <c r="K264" s="39"/>
      <c r="L264" s="39"/>
      <c r="M264" s="39"/>
      <c r="N264" s="39"/>
      <c r="O264" s="39"/>
      <c r="P264" s="40"/>
    </row>
    <row r="265" ht="21.75" customHeight="1">
      <c r="B265" s="124" t="s">
        <v>1676</v>
      </c>
      <c r="C265" s="52" t="s">
        <v>1677</v>
      </c>
      <c r="D265" s="39"/>
      <c r="E265" s="40"/>
      <c r="F265" s="52" t="s">
        <v>1678</v>
      </c>
      <c r="G265" s="39"/>
      <c r="H265" s="39"/>
      <c r="I265" s="39"/>
      <c r="J265" s="39"/>
      <c r="K265" s="39"/>
      <c r="L265" s="39"/>
      <c r="M265" s="40"/>
      <c r="N265" s="52" t="s">
        <v>1679</v>
      </c>
      <c r="O265" s="39"/>
      <c r="P265" s="40"/>
    </row>
    <row r="266" ht="33.0" customHeight="1">
      <c r="B266" s="73" t="s">
        <v>1680</v>
      </c>
      <c r="C266" s="141" t="s">
        <v>1681</v>
      </c>
      <c r="D266" s="39"/>
      <c r="E266" s="40"/>
      <c r="F266" s="141" t="s">
        <v>1682</v>
      </c>
      <c r="G266" s="39"/>
      <c r="H266" s="39"/>
      <c r="I266" s="39"/>
      <c r="J266" s="39"/>
      <c r="K266" s="39"/>
      <c r="L266" s="39"/>
      <c r="M266" s="40"/>
      <c r="N266" s="146" t="s">
        <v>1373</v>
      </c>
      <c r="O266" s="39"/>
      <c r="P266" s="40"/>
    </row>
    <row r="267" ht="19.5" customHeight="1">
      <c r="B267" s="73" t="s">
        <v>1683</v>
      </c>
      <c r="C267" s="141" t="s">
        <v>1684</v>
      </c>
      <c r="D267" s="39"/>
      <c r="E267" s="40"/>
      <c r="F267" s="141" t="s">
        <v>1685</v>
      </c>
      <c r="G267" s="39"/>
      <c r="H267" s="39"/>
      <c r="I267" s="39"/>
      <c r="J267" s="39"/>
      <c r="K267" s="39"/>
      <c r="L267" s="39"/>
      <c r="M267" s="40"/>
      <c r="N267" s="146" t="s">
        <v>1686</v>
      </c>
      <c r="O267" s="39"/>
      <c r="P267" s="40"/>
    </row>
    <row r="268" ht="33.0" customHeight="1">
      <c r="B268" s="73" t="s">
        <v>1687</v>
      </c>
      <c r="C268" s="141" t="s">
        <v>1688</v>
      </c>
      <c r="D268" s="39"/>
      <c r="E268" s="40"/>
      <c r="F268" s="141" t="s">
        <v>1689</v>
      </c>
      <c r="G268" s="39"/>
      <c r="H268" s="39"/>
      <c r="I268" s="39"/>
      <c r="J268" s="39"/>
      <c r="K268" s="39"/>
      <c r="L268" s="39"/>
      <c r="M268" s="40"/>
      <c r="N268" s="146" t="s">
        <v>1260</v>
      </c>
      <c r="O268" s="39"/>
      <c r="P268" s="40"/>
    </row>
    <row r="269" ht="33.0" customHeight="1">
      <c r="B269" s="73" t="s">
        <v>1690</v>
      </c>
      <c r="C269" s="141" t="s">
        <v>1691</v>
      </c>
      <c r="D269" s="39"/>
      <c r="E269" s="40"/>
      <c r="F269" s="141" t="s">
        <v>1692</v>
      </c>
      <c r="G269" s="39"/>
      <c r="H269" s="39"/>
      <c r="I269" s="39"/>
      <c r="J269" s="39"/>
      <c r="K269" s="39"/>
      <c r="L269" s="39"/>
      <c r="M269" s="40"/>
      <c r="N269" s="146" t="s">
        <v>1269</v>
      </c>
      <c r="O269" s="39"/>
      <c r="P269" s="40"/>
    </row>
    <row r="270" ht="33.0" customHeight="1">
      <c r="B270" s="73" t="s">
        <v>1693</v>
      </c>
      <c r="C270" s="141" t="s">
        <v>1694</v>
      </c>
      <c r="D270" s="39"/>
      <c r="E270" s="40"/>
      <c r="F270" s="141" t="s">
        <v>1695</v>
      </c>
      <c r="G270" s="39"/>
      <c r="H270" s="39"/>
      <c r="I270" s="39"/>
      <c r="J270" s="39"/>
      <c r="K270" s="39"/>
      <c r="L270" s="39"/>
      <c r="M270" s="40"/>
      <c r="N270" s="146" t="s">
        <v>1278</v>
      </c>
      <c r="O270" s="39"/>
      <c r="P270" s="40"/>
    </row>
    <row r="271" ht="19.5" customHeight="1">
      <c r="B271" s="73" t="s">
        <v>1696</v>
      </c>
      <c r="C271" s="141" t="s">
        <v>1697</v>
      </c>
      <c r="D271" s="39"/>
      <c r="E271" s="40"/>
      <c r="F271" s="141" t="s">
        <v>1698</v>
      </c>
      <c r="G271" s="39"/>
      <c r="H271" s="39"/>
      <c r="I271" s="39"/>
      <c r="J271" s="39"/>
      <c r="K271" s="39"/>
      <c r="L271" s="39"/>
      <c r="M271" s="40"/>
      <c r="N271" s="146" t="s">
        <v>1287</v>
      </c>
      <c r="O271" s="39"/>
      <c r="P271" s="40"/>
    </row>
    <row r="272" ht="19.5" customHeight="1">
      <c r="B272" s="73" t="s">
        <v>1699</v>
      </c>
      <c r="C272" s="141" t="s">
        <v>1700</v>
      </c>
      <c r="D272" s="39"/>
      <c r="E272" s="40"/>
      <c r="F272" s="141" t="s">
        <v>1701</v>
      </c>
      <c r="G272" s="39"/>
      <c r="H272" s="39"/>
      <c r="I272" s="39"/>
      <c r="J272" s="39"/>
      <c r="K272" s="39"/>
      <c r="L272" s="39"/>
      <c r="M272" s="40"/>
      <c r="N272" s="146" t="s">
        <v>1364</v>
      </c>
      <c r="O272" s="39"/>
      <c r="P272" s="40"/>
    </row>
    <row r="273" ht="33.0" customHeight="1">
      <c r="B273" s="73" t="s">
        <v>1702</v>
      </c>
      <c r="C273" s="141" t="s">
        <v>1703</v>
      </c>
      <c r="D273" s="39"/>
      <c r="E273" s="40"/>
      <c r="F273" s="141" t="s">
        <v>1704</v>
      </c>
      <c r="G273" s="39"/>
      <c r="H273" s="39"/>
      <c r="I273" s="39"/>
      <c r="J273" s="39"/>
      <c r="K273" s="39"/>
      <c r="L273" s="39"/>
      <c r="M273" s="40"/>
      <c r="N273" s="146" t="s">
        <v>1303</v>
      </c>
      <c r="O273" s="39"/>
      <c r="P273" s="40"/>
    </row>
    <row r="274" ht="33.0" customHeight="1">
      <c r="B274" s="73" t="s">
        <v>1705</v>
      </c>
      <c r="C274" s="141" t="str">
        <f>"≤ USD "&amp;TEXT(C34,"0.0")&amp;"/t; A-AAA or CCP; credits ≤ "&amp;TEXT(C32,"0%")&amp;" of the cap"</f>
        <v>≤ USD 21.2/t; A-AAA or CCP; credits ≤ 30% of the cap</v>
      </c>
      <c r="D274" s="39"/>
      <c r="E274" s="40"/>
      <c r="F274" s="141" t="s">
        <v>1706</v>
      </c>
      <c r="G274" s="39"/>
      <c r="H274" s="39"/>
      <c r="I274" s="39"/>
      <c r="J274" s="39"/>
      <c r="K274" s="39"/>
      <c r="L274" s="39"/>
      <c r="M274" s="40"/>
      <c r="N274" s="146" t="s">
        <v>1312</v>
      </c>
      <c r="O274" s="39"/>
      <c r="P274" s="40"/>
    </row>
    <row r="275" ht="14.25" customHeight="1"/>
    <row r="276" ht="21.75" customHeight="1">
      <c r="B276" s="103" t="s">
        <v>583</v>
      </c>
      <c r="C276" s="4"/>
      <c r="D276" s="4"/>
      <c r="E276" s="4"/>
      <c r="F276" s="4"/>
      <c r="G276" s="4"/>
      <c r="H276" s="4"/>
      <c r="I276" s="4"/>
      <c r="J276" s="4"/>
      <c r="K276" s="4"/>
      <c r="L276" s="4"/>
      <c r="M276" s="4"/>
      <c r="N276" s="4"/>
      <c r="O276" s="4"/>
      <c r="P276" s="6"/>
    </row>
    <row r="277" ht="21.75" customHeight="1">
      <c r="B277" s="124" t="s">
        <v>428</v>
      </c>
      <c r="C277" s="52" t="s">
        <v>429</v>
      </c>
      <c r="D277" s="39"/>
      <c r="E277" s="39"/>
      <c r="F277" s="39"/>
      <c r="G277" s="39"/>
      <c r="H277" s="40"/>
      <c r="J277" s="310" t="s">
        <v>430</v>
      </c>
      <c r="K277" s="39"/>
      <c r="L277" s="39"/>
      <c r="M277" s="39"/>
      <c r="N277" s="39"/>
      <c r="O277" s="39"/>
      <c r="P277" s="40"/>
    </row>
    <row r="278" ht="47.25" customHeight="1">
      <c r="B278" s="73" t="s">
        <v>1707</v>
      </c>
      <c r="C278" s="141" t="s">
        <v>1708</v>
      </c>
      <c r="D278" s="39"/>
      <c r="E278" s="39"/>
      <c r="F278" s="39"/>
      <c r="G278" s="39"/>
      <c r="H278" s="40"/>
      <c r="I278" s="37"/>
      <c r="J278" s="146" t="s">
        <v>1709</v>
      </c>
      <c r="K278" s="39"/>
      <c r="L278" s="39"/>
      <c r="M278" s="39"/>
      <c r="N278" s="39"/>
      <c r="O278" s="39"/>
      <c r="P278" s="40"/>
    </row>
    <row r="279" ht="61.5" customHeight="1">
      <c r="B279" s="73" t="s">
        <v>1710</v>
      </c>
      <c r="C279" s="141" t="s">
        <v>1711</v>
      </c>
      <c r="D279" s="39"/>
      <c r="E279" s="39"/>
      <c r="F279" s="39"/>
      <c r="G279" s="39"/>
      <c r="H279" s="40"/>
      <c r="I279" s="37"/>
      <c r="J279" s="146" t="s">
        <v>1712</v>
      </c>
      <c r="K279" s="39"/>
      <c r="L279" s="39"/>
      <c r="M279" s="39"/>
      <c r="N279" s="39"/>
      <c r="O279" s="39"/>
      <c r="P279" s="40"/>
    </row>
    <row r="280" ht="47.25" customHeight="1">
      <c r="B280" s="73" t="s">
        <v>1713</v>
      </c>
      <c r="C280" s="141" t="s">
        <v>1714</v>
      </c>
      <c r="D280" s="39"/>
      <c r="E280" s="39"/>
      <c r="F280" s="39"/>
      <c r="G280" s="39"/>
      <c r="H280" s="40"/>
      <c r="I280" s="37"/>
      <c r="J280" s="146" t="s">
        <v>1715</v>
      </c>
      <c r="K280" s="39"/>
      <c r="L280" s="39"/>
      <c r="M280" s="39"/>
      <c r="N280" s="39"/>
      <c r="O280" s="39"/>
      <c r="P280" s="40"/>
    </row>
    <row r="281" ht="47.25" customHeight="1">
      <c r="B281" s="73" t="s">
        <v>1578</v>
      </c>
      <c r="C281" s="141" t="s">
        <v>1716</v>
      </c>
      <c r="D281" s="39"/>
      <c r="E281" s="39"/>
      <c r="F281" s="39"/>
      <c r="G281" s="39"/>
      <c r="H281" s="40"/>
      <c r="I281" s="37"/>
      <c r="J281" s="146" t="s">
        <v>1717</v>
      </c>
      <c r="K281" s="39"/>
      <c r="L281" s="39"/>
      <c r="M281" s="39"/>
      <c r="N281" s="39"/>
      <c r="O281" s="39"/>
      <c r="P281" s="40"/>
    </row>
    <row r="282" ht="47.25" customHeight="1">
      <c r="B282" s="73" t="s">
        <v>1718</v>
      </c>
      <c r="C282" s="141" t="s">
        <v>1719</v>
      </c>
      <c r="D282" s="39"/>
      <c r="E282" s="39"/>
      <c r="F282" s="39"/>
      <c r="G282" s="39"/>
      <c r="H282" s="40"/>
      <c r="I282" s="37"/>
      <c r="J282" s="146" t="s">
        <v>1720</v>
      </c>
      <c r="K282" s="39"/>
      <c r="L282" s="39"/>
      <c r="M282" s="39"/>
      <c r="N282" s="39"/>
      <c r="O282" s="39"/>
      <c r="P282" s="40"/>
    </row>
    <row r="283" ht="61.5" customHeight="1">
      <c r="B283" s="73" t="s">
        <v>1721</v>
      </c>
      <c r="C283" s="141" t="s">
        <v>1722</v>
      </c>
      <c r="D283" s="39"/>
      <c r="E283" s="39"/>
      <c r="F283" s="39"/>
      <c r="G283" s="39"/>
      <c r="H283" s="40"/>
      <c r="I283" s="37"/>
      <c r="J283" s="146" t="s">
        <v>1723</v>
      </c>
      <c r="K283" s="39"/>
      <c r="L283" s="39"/>
      <c r="M283" s="39"/>
      <c r="N283" s="39"/>
      <c r="O283" s="39"/>
      <c r="P283" s="40"/>
    </row>
    <row r="284" ht="61.5" customHeight="1">
      <c r="B284" s="73" t="s">
        <v>1724</v>
      </c>
      <c r="C284" s="141" t="s">
        <v>1725</v>
      </c>
      <c r="D284" s="39"/>
      <c r="E284" s="39"/>
      <c r="F284" s="39"/>
      <c r="G284" s="39"/>
      <c r="H284" s="40"/>
      <c r="I284" s="37"/>
      <c r="J284" s="146" t="s">
        <v>1726</v>
      </c>
      <c r="K284" s="39"/>
      <c r="L284" s="39"/>
      <c r="M284" s="39"/>
      <c r="N284" s="39"/>
      <c r="O284" s="39"/>
      <c r="P284" s="40"/>
    </row>
    <row r="285" ht="14.25" customHeight="1"/>
    <row r="286" ht="30.0" customHeight="1">
      <c r="B286" s="96" t="s">
        <v>1727</v>
      </c>
    </row>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27">
    <mergeCell ref="J279:P279"/>
    <mergeCell ref="J280:P280"/>
    <mergeCell ref="B276:P276"/>
    <mergeCell ref="C277:H277"/>
    <mergeCell ref="J277:P277"/>
    <mergeCell ref="C278:H278"/>
    <mergeCell ref="J278:P278"/>
    <mergeCell ref="C279:H279"/>
    <mergeCell ref="C280:H280"/>
    <mergeCell ref="F265:M265"/>
    <mergeCell ref="N265:P265"/>
    <mergeCell ref="B258:P258"/>
    <mergeCell ref="B259:P259"/>
    <mergeCell ref="B260:P260"/>
    <mergeCell ref="B261:P261"/>
    <mergeCell ref="B262:P262"/>
    <mergeCell ref="B264:P264"/>
    <mergeCell ref="C265:E265"/>
    <mergeCell ref="F268:M268"/>
    <mergeCell ref="N268:P268"/>
    <mergeCell ref="C266:E266"/>
    <mergeCell ref="F266:M266"/>
    <mergeCell ref="N266:P266"/>
    <mergeCell ref="C267:E267"/>
    <mergeCell ref="F267:M267"/>
    <mergeCell ref="N267:P267"/>
    <mergeCell ref="C268:E268"/>
    <mergeCell ref="F271:M271"/>
    <mergeCell ref="N271:P271"/>
    <mergeCell ref="C269:E269"/>
    <mergeCell ref="F269:M269"/>
    <mergeCell ref="N269:P269"/>
    <mergeCell ref="C270:E270"/>
    <mergeCell ref="F270:M270"/>
    <mergeCell ref="N270:P270"/>
    <mergeCell ref="C271:E271"/>
    <mergeCell ref="J284:P284"/>
    <mergeCell ref="B286:P286"/>
    <mergeCell ref="C281:H281"/>
    <mergeCell ref="J281:P281"/>
    <mergeCell ref="C282:H282"/>
    <mergeCell ref="J282:P282"/>
    <mergeCell ref="C283:H283"/>
    <mergeCell ref="J283:P283"/>
    <mergeCell ref="C284:H284"/>
    <mergeCell ref="B1:P1"/>
    <mergeCell ref="B2:P2"/>
    <mergeCell ref="E4:F4"/>
    <mergeCell ref="G4:H4"/>
    <mergeCell ref="J4:K4"/>
    <mergeCell ref="L4:M4"/>
    <mergeCell ref="N4:P4"/>
    <mergeCell ref="C4:D4"/>
    <mergeCell ref="C5:D5"/>
    <mergeCell ref="E5:F5"/>
    <mergeCell ref="G5:H5"/>
    <mergeCell ref="J5:K5"/>
    <mergeCell ref="L5:M5"/>
    <mergeCell ref="N5:P5"/>
    <mergeCell ref="C6:D6"/>
    <mergeCell ref="E6:F6"/>
    <mergeCell ref="G6:H6"/>
    <mergeCell ref="J6:K6"/>
    <mergeCell ref="L6:M6"/>
    <mergeCell ref="N6:P6"/>
    <mergeCell ref="B8:P8"/>
    <mergeCell ref="F12:H12"/>
    <mergeCell ref="F13:H13"/>
    <mergeCell ref="F9:H9"/>
    <mergeCell ref="J9:P9"/>
    <mergeCell ref="F10:H10"/>
    <mergeCell ref="J10:N10"/>
    <mergeCell ref="F11:H11"/>
    <mergeCell ref="J11:N11"/>
    <mergeCell ref="J12:N12"/>
    <mergeCell ref="J18:M18"/>
    <mergeCell ref="N18:P18"/>
    <mergeCell ref="J13:N13"/>
    <mergeCell ref="J14:P14"/>
    <mergeCell ref="B16:P16"/>
    <mergeCell ref="E17:H17"/>
    <mergeCell ref="J17:M17"/>
    <mergeCell ref="N17:P17"/>
    <mergeCell ref="E18:H18"/>
    <mergeCell ref="B49:H49"/>
    <mergeCell ref="J49:P49"/>
    <mergeCell ref="B52:H52"/>
    <mergeCell ref="J52:P52"/>
    <mergeCell ref="B54:H54"/>
    <mergeCell ref="J54:P54"/>
    <mergeCell ref="J45:P45"/>
    <mergeCell ref="J46:P46"/>
    <mergeCell ref="J47:P47"/>
    <mergeCell ref="J48:P48"/>
    <mergeCell ref="J50:P50"/>
    <mergeCell ref="J51:P51"/>
    <mergeCell ref="J53:P53"/>
    <mergeCell ref="J55:P55"/>
    <mergeCell ref="J56:P56"/>
    <mergeCell ref="J57:P57"/>
    <mergeCell ref="J58:P58"/>
    <mergeCell ref="J59:P59"/>
    <mergeCell ref="J60:P60"/>
    <mergeCell ref="B62:H62"/>
    <mergeCell ref="J62:P62"/>
    <mergeCell ref="M63:P63"/>
    <mergeCell ref="M64:P64"/>
    <mergeCell ref="B70:H70"/>
    <mergeCell ref="J70:P70"/>
    <mergeCell ref="J81:P81"/>
    <mergeCell ref="M82:P82"/>
    <mergeCell ref="B81:H81"/>
    <mergeCell ref="B87:H87"/>
    <mergeCell ref="J87:P87"/>
    <mergeCell ref="B96:H96"/>
    <mergeCell ref="J96:P96"/>
    <mergeCell ref="J97:P97"/>
    <mergeCell ref="J98:P98"/>
    <mergeCell ref="J99:P99"/>
    <mergeCell ref="J100:P100"/>
    <mergeCell ref="J101:P101"/>
    <mergeCell ref="B102:H102"/>
    <mergeCell ref="J102:P102"/>
    <mergeCell ref="B109:P109"/>
    <mergeCell ref="J117:P117"/>
    <mergeCell ref="J21:M21"/>
    <mergeCell ref="N21:P21"/>
    <mergeCell ref="E19:H19"/>
    <mergeCell ref="J19:M19"/>
    <mergeCell ref="N19:P19"/>
    <mergeCell ref="E20:H20"/>
    <mergeCell ref="J20:M20"/>
    <mergeCell ref="N20:P20"/>
    <mergeCell ref="E21:H21"/>
    <mergeCell ref="E22:H22"/>
    <mergeCell ref="J22:M22"/>
    <mergeCell ref="N22:P22"/>
    <mergeCell ref="E24:M24"/>
    <mergeCell ref="E25:M25"/>
    <mergeCell ref="B27:P27"/>
    <mergeCell ref="E28:P28"/>
    <mergeCell ref="E29:P29"/>
    <mergeCell ref="E30:P30"/>
    <mergeCell ref="E31:P31"/>
    <mergeCell ref="E32:P32"/>
    <mergeCell ref="E33:P33"/>
    <mergeCell ref="E34:P34"/>
    <mergeCell ref="C35:P35"/>
    <mergeCell ref="C36:E36"/>
    <mergeCell ref="F36:H36"/>
    <mergeCell ref="J36:L36"/>
    <mergeCell ref="M36:P36"/>
    <mergeCell ref="B38:P38"/>
    <mergeCell ref="J39:P39"/>
    <mergeCell ref="B40:H40"/>
    <mergeCell ref="J40:P40"/>
    <mergeCell ref="J41:P41"/>
    <mergeCell ref="J42:P42"/>
    <mergeCell ref="B43:H43"/>
    <mergeCell ref="J43:P43"/>
    <mergeCell ref="J44:P44"/>
    <mergeCell ref="B46:H46"/>
    <mergeCell ref="B117:H117"/>
    <mergeCell ref="B124:H124"/>
    <mergeCell ref="J124:P124"/>
    <mergeCell ref="B131:H131"/>
    <mergeCell ref="J131:P131"/>
    <mergeCell ref="B138:H138"/>
    <mergeCell ref="J138:P138"/>
    <mergeCell ref="B145:H145"/>
    <mergeCell ref="J145:P145"/>
    <mergeCell ref="B152:H152"/>
    <mergeCell ref="J152:P152"/>
    <mergeCell ref="B159:H159"/>
    <mergeCell ref="J159:P159"/>
    <mergeCell ref="J166:P166"/>
    <mergeCell ref="B166:H166"/>
    <mergeCell ref="B173:H173"/>
    <mergeCell ref="J173:P173"/>
    <mergeCell ref="B180:H180"/>
    <mergeCell ref="J180:P180"/>
    <mergeCell ref="B187:H187"/>
    <mergeCell ref="J187:P187"/>
    <mergeCell ref="B194:H194"/>
    <mergeCell ref="J194:P194"/>
    <mergeCell ref="B201:H201"/>
    <mergeCell ref="J201:P201"/>
    <mergeCell ref="B208:H208"/>
    <mergeCell ref="J208:P208"/>
    <mergeCell ref="J215:P215"/>
    <mergeCell ref="B215:H215"/>
    <mergeCell ref="B222:H222"/>
    <mergeCell ref="J222:P222"/>
    <mergeCell ref="B228:H228"/>
    <mergeCell ref="B232:P232"/>
    <mergeCell ref="E233:H233"/>
    <mergeCell ref="E234:H234"/>
    <mergeCell ref="E235:H235"/>
    <mergeCell ref="E236:H236"/>
    <mergeCell ref="E237:H237"/>
    <mergeCell ref="E238:H238"/>
    <mergeCell ref="E239:H239"/>
    <mergeCell ref="J241:K241"/>
    <mergeCell ref="J242:K242"/>
    <mergeCell ref="J243:K243"/>
    <mergeCell ref="J244:K244"/>
    <mergeCell ref="J245:K245"/>
    <mergeCell ref="J246:K246"/>
    <mergeCell ref="J247:K247"/>
    <mergeCell ref="J248:K248"/>
    <mergeCell ref="J249:K249"/>
    <mergeCell ref="J250:K250"/>
    <mergeCell ref="J251:K251"/>
    <mergeCell ref="J252:K252"/>
    <mergeCell ref="J253:K253"/>
    <mergeCell ref="B255:P255"/>
    <mergeCell ref="B256:P256"/>
    <mergeCell ref="B257:P257"/>
    <mergeCell ref="F274:M274"/>
    <mergeCell ref="N274:P274"/>
    <mergeCell ref="C272:E272"/>
    <mergeCell ref="F272:M272"/>
    <mergeCell ref="N272:P272"/>
    <mergeCell ref="C273:E273"/>
    <mergeCell ref="F273:M273"/>
    <mergeCell ref="N273:P273"/>
    <mergeCell ref="C274:E274"/>
  </mergeCells>
  <conditionalFormatting sqref="C55:F55">
    <cfRule type="expression" dxfId="0" priority="1">
      <formula>OR(LEFT(C55,3)="NOT",C55="FAIL",C55="CHECK",C55="No",C55="Not eligible")</formula>
    </cfRule>
  </conditionalFormatting>
  <conditionalFormatting sqref="C58:F60">
    <cfRule type="expression" dxfId="0" priority="2">
      <formula>OR(LEFT(C58,3)="NOT",C58="FAIL",C58="CHECK",C58="No",C58="Not eligible")</formula>
    </cfRule>
  </conditionalFormatting>
  <conditionalFormatting sqref="C251:G251">
    <cfRule type="expression" dxfId="0" priority="3">
      <formula>OR(LEFT(C251,3)="NOT",C251="FAIL",C251="CHECK",C251="No",C251="Not eligible")</formula>
    </cfRule>
  </conditionalFormatting>
  <conditionalFormatting sqref="D161:H164">
    <cfRule type="expression" dxfId="0" priority="4">
      <formula>OR(LEFT(D161,3)="NOT",D161="FAIL",D161="CHECK",D161="No",D161="Not eligible")</formula>
    </cfRule>
  </conditionalFormatting>
  <conditionalFormatting sqref="D217:H220">
    <cfRule type="expression" dxfId="0" priority="5">
      <formula>OR(LEFT(D217,3)="NOT",D217="FAIL",D217="CHECK",D217="No",D217="Not eligible")</formula>
    </cfRule>
  </conditionalFormatting>
  <conditionalFormatting sqref="D229:H230">
    <cfRule type="expression" dxfId="0" priority="6">
      <formula>OR(LEFT(D229,3)="NOT",D229="FAIL",D229="CHECK",D229="No",D229="Not eligible")</formula>
    </cfRule>
  </conditionalFormatting>
  <conditionalFormatting sqref="E13">
    <cfRule type="expression" dxfId="0" priority="7">
      <formula>OR(LEFT(E13,3)="NOT",E13="FAIL",E13="CHECK",E13="No",E13="Not eligible")</formula>
    </cfRule>
  </conditionalFormatting>
  <conditionalFormatting sqref="P89:P92">
    <cfRule type="expression" dxfId="0" priority="8">
      <formula>OR(LEFT(P89,3)="NOT",P89="FAIL",P89="CHECK",P89="No",P89="Not eligible")</formula>
    </cfRule>
  </conditionalFormatting>
  <hyperlinks>
    <hyperlink r:id="rId1" ref="C36"/>
    <hyperlink r:id="rId2" ref="F36"/>
    <hyperlink r:id="rId3" ref="J36"/>
    <hyperlink r:id="rId4" ref="M36"/>
  </hyperlinks>
  <printOptions/>
  <pageMargins bottom="0.5" footer="0.0" header="0.0" left="0.4" right="0.4" top="0.5"/>
  <pageSetup fitToHeight="0" paperSize="9" orientation="landscape"/>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86"/>
    <col customWidth="1" min="2" max="2" width="16.0"/>
    <col customWidth="1" min="3" max="3" width="15.0"/>
    <col customWidth="1" min="4" max="6" width="18.0"/>
    <col customWidth="1" min="7" max="7" width="18.57"/>
    <col customWidth="1" min="8" max="8" width="15.0"/>
    <col customWidth="1" min="9" max="9" width="39.71"/>
    <col customWidth="1" min="10" max="10" width="38.71"/>
    <col customWidth="1" min="11" max="26" width="9.0"/>
  </cols>
  <sheetData>
    <row r="1">
      <c r="A1" s="171" t="s">
        <v>672</v>
      </c>
      <c r="B1" s="4"/>
      <c r="C1" s="4"/>
      <c r="D1" s="4"/>
      <c r="E1" s="4"/>
      <c r="F1" s="4"/>
      <c r="G1" s="4"/>
      <c r="H1" s="4"/>
      <c r="I1" s="4"/>
      <c r="J1" s="6"/>
      <c r="K1" s="2"/>
      <c r="L1" s="2"/>
      <c r="M1" s="2"/>
      <c r="N1" s="2"/>
      <c r="O1" s="2"/>
      <c r="P1" s="2"/>
      <c r="Q1" s="2"/>
      <c r="R1" s="2"/>
      <c r="S1" s="2"/>
      <c r="T1" s="2"/>
      <c r="U1" s="2"/>
      <c r="V1" s="2"/>
      <c r="W1" s="2"/>
      <c r="X1" s="2"/>
      <c r="Y1" s="2"/>
      <c r="Z1" s="2"/>
    </row>
    <row r="2">
      <c r="A2" s="172" t="s">
        <v>690</v>
      </c>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74" t="s">
        <v>693</v>
      </c>
      <c r="B4" s="39"/>
      <c r="C4" s="39"/>
      <c r="D4" s="39"/>
      <c r="E4" s="39"/>
      <c r="F4" s="39"/>
      <c r="G4" s="40"/>
      <c r="H4" s="2"/>
      <c r="I4" s="2"/>
      <c r="J4" s="2"/>
      <c r="K4" s="2"/>
      <c r="L4" s="2"/>
      <c r="M4" s="2"/>
      <c r="N4" s="2"/>
      <c r="O4" s="2"/>
      <c r="P4" s="2"/>
      <c r="Q4" s="2"/>
      <c r="R4" s="2"/>
      <c r="S4" s="2"/>
      <c r="T4" s="2"/>
      <c r="U4" s="2"/>
      <c r="V4" s="2"/>
      <c r="W4" s="2"/>
      <c r="X4" s="2"/>
      <c r="Y4" s="2"/>
      <c r="Z4" s="2"/>
    </row>
    <row r="5">
      <c r="A5" s="175" t="s">
        <v>697</v>
      </c>
      <c r="B5" s="175" t="s">
        <v>122</v>
      </c>
      <c r="C5" s="175" t="s">
        <v>123</v>
      </c>
      <c r="D5" s="176" t="s">
        <v>707</v>
      </c>
      <c r="E5" s="39"/>
      <c r="F5" s="39"/>
      <c r="G5" s="40"/>
      <c r="H5" s="2"/>
      <c r="I5" s="2"/>
      <c r="J5" s="2"/>
      <c r="K5" s="2"/>
      <c r="L5" s="2"/>
      <c r="M5" s="2"/>
      <c r="N5" s="2"/>
      <c r="O5" s="2"/>
      <c r="P5" s="2"/>
      <c r="Q5" s="2"/>
      <c r="R5" s="2"/>
      <c r="S5" s="2"/>
      <c r="T5" s="2"/>
      <c r="U5" s="2"/>
      <c r="V5" s="2"/>
      <c r="W5" s="2"/>
      <c r="X5" s="2"/>
      <c r="Y5" s="2"/>
      <c r="Z5" s="2"/>
    </row>
    <row r="6">
      <c r="A6" s="36" t="s">
        <v>708</v>
      </c>
      <c r="B6" s="177">
        <v>300000.0</v>
      </c>
      <c r="C6" s="16" t="s">
        <v>709</v>
      </c>
      <c r="D6" s="178" t="s">
        <v>710</v>
      </c>
      <c r="E6" s="39"/>
      <c r="F6" s="39"/>
      <c r="G6" s="40"/>
      <c r="H6" s="2"/>
      <c r="I6" s="2"/>
      <c r="J6" s="2"/>
      <c r="K6" s="2"/>
      <c r="L6" s="2"/>
      <c r="M6" s="2"/>
      <c r="N6" s="2"/>
      <c r="O6" s="2"/>
      <c r="P6" s="2"/>
      <c r="Q6" s="2"/>
      <c r="R6" s="2"/>
      <c r="S6" s="2"/>
      <c r="T6" s="2"/>
      <c r="U6" s="2"/>
      <c r="V6" s="2"/>
      <c r="W6" s="2"/>
      <c r="X6" s="2"/>
      <c r="Y6" s="2"/>
      <c r="Z6" s="2"/>
    </row>
    <row r="7">
      <c r="A7" s="36" t="s">
        <v>711</v>
      </c>
      <c r="B7" s="179">
        <v>25.0</v>
      </c>
      <c r="C7" s="16" t="s">
        <v>712</v>
      </c>
      <c r="D7" s="178" t="s">
        <v>713</v>
      </c>
      <c r="E7" s="39"/>
      <c r="F7" s="39"/>
      <c r="G7" s="40"/>
      <c r="H7" s="2"/>
      <c r="I7" s="2"/>
      <c r="J7" s="2"/>
      <c r="K7" s="2"/>
      <c r="L7" s="2"/>
      <c r="M7" s="2"/>
      <c r="N7" s="2"/>
      <c r="O7" s="2"/>
      <c r="P7" s="2"/>
      <c r="Q7" s="2"/>
      <c r="R7" s="2"/>
      <c r="S7" s="2"/>
      <c r="T7" s="2"/>
      <c r="U7" s="2"/>
      <c r="V7" s="2"/>
      <c r="W7" s="2"/>
      <c r="X7" s="2"/>
      <c r="Y7" s="2"/>
      <c r="Z7" s="2"/>
    </row>
    <row r="8">
      <c r="A8" s="36" t="s">
        <v>714</v>
      </c>
      <c r="B8" s="179">
        <v>16.0</v>
      </c>
      <c r="C8" s="16" t="s">
        <v>712</v>
      </c>
      <c r="D8" s="178" t="s">
        <v>713</v>
      </c>
      <c r="E8" s="39"/>
      <c r="F8" s="39"/>
      <c r="G8" s="40"/>
      <c r="H8" s="2"/>
      <c r="I8" s="2"/>
      <c r="J8" s="2"/>
      <c r="K8" s="2"/>
      <c r="L8" s="2"/>
      <c r="M8" s="2"/>
      <c r="N8" s="2"/>
      <c r="O8" s="2"/>
      <c r="P8" s="2"/>
      <c r="Q8" s="2"/>
      <c r="R8" s="2"/>
      <c r="S8" s="2"/>
      <c r="T8" s="2"/>
      <c r="U8" s="2"/>
      <c r="V8" s="2"/>
      <c r="W8" s="2"/>
      <c r="X8" s="2"/>
      <c r="Y8" s="2"/>
      <c r="Z8" s="2"/>
    </row>
    <row r="9">
      <c r="A9" s="36" t="s">
        <v>715</v>
      </c>
      <c r="B9" s="179">
        <v>18.0</v>
      </c>
      <c r="C9" s="16" t="s">
        <v>712</v>
      </c>
      <c r="D9" s="178" t="s">
        <v>713</v>
      </c>
      <c r="E9" s="39"/>
      <c r="F9" s="39"/>
      <c r="G9" s="40"/>
      <c r="H9" s="2"/>
      <c r="I9" s="2"/>
      <c r="J9" s="2"/>
      <c r="K9" s="2"/>
      <c r="L9" s="2"/>
      <c r="M9" s="2"/>
      <c r="N9" s="2"/>
      <c r="O9" s="2"/>
      <c r="P9" s="2"/>
      <c r="Q9" s="2"/>
      <c r="R9" s="2"/>
      <c r="S9" s="2"/>
      <c r="T9" s="2"/>
      <c r="U9" s="2"/>
      <c r="V9" s="2"/>
      <c r="W9" s="2"/>
      <c r="X9" s="2"/>
      <c r="Y9" s="2"/>
      <c r="Z9" s="2"/>
    </row>
    <row r="10">
      <c r="A10" s="36" t="s">
        <v>716</v>
      </c>
      <c r="B10" s="180">
        <v>0.7</v>
      </c>
      <c r="C10" s="16" t="s">
        <v>146</v>
      </c>
      <c r="D10" s="178" t="s">
        <v>717</v>
      </c>
      <c r="E10" s="39"/>
      <c r="F10" s="39"/>
      <c r="G10" s="40"/>
      <c r="H10" s="2"/>
      <c r="I10" s="2"/>
      <c r="J10" s="2"/>
      <c r="K10" s="2"/>
      <c r="L10" s="2"/>
      <c r="M10" s="2"/>
      <c r="N10" s="2"/>
      <c r="O10" s="2"/>
      <c r="P10" s="2"/>
      <c r="Q10" s="2"/>
      <c r="R10" s="2"/>
      <c r="S10" s="2"/>
      <c r="T10" s="2"/>
      <c r="U10" s="2"/>
      <c r="V10" s="2"/>
      <c r="W10" s="2"/>
      <c r="X10" s="2"/>
      <c r="Y10" s="2"/>
      <c r="Z10" s="2"/>
    </row>
    <row r="11">
      <c r="A11" s="36" t="s">
        <v>718</v>
      </c>
      <c r="B11" s="180">
        <v>0.3</v>
      </c>
      <c r="C11" s="16" t="s">
        <v>146</v>
      </c>
      <c r="D11" s="178" t="s">
        <v>717</v>
      </c>
      <c r="E11" s="39"/>
      <c r="F11" s="39"/>
      <c r="G11" s="40"/>
      <c r="H11" s="2"/>
      <c r="I11" s="2"/>
      <c r="J11" s="2"/>
      <c r="K11" s="2"/>
      <c r="L11" s="2"/>
      <c r="M11" s="2"/>
      <c r="N11" s="2"/>
      <c r="O11" s="2"/>
      <c r="P11" s="2"/>
      <c r="Q11" s="2"/>
      <c r="R11" s="2"/>
      <c r="S11" s="2"/>
      <c r="T11" s="2"/>
      <c r="U11" s="2"/>
      <c r="V11" s="2"/>
      <c r="W11" s="2"/>
      <c r="X11" s="2"/>
      <c r="Y11" s="2"/>
      <c r="Z11" s="2"/>
    </row>
    <row r="12">
      <c r="A12" s="36" t="s">
        <v>719</v>
      </c>
      <c r="B12" s="177">
        <v>1950000.0</v>
      </c>
      <c r="C12" s="16" t="s">
        <v>513</v>
      </c>
      <c r="D12" s="178" t="s">
        <v>720</v>
      </c>
      <c r="E12" s="39"/>
      <c r="F12" s="39"/>
      <c r="G12" s="40"/>
      <c r="H12" s="2"/>
      <c r="I12" s="2"/>
      <c r="J12" s="2"/>
      <c r="K12" s="2"/>
      <c r="L12" s="2"/>
      <c r="M12" s="2"/>
      <c r="N12" s="2"/>
      <c r="O12" s="2"/>
      <c r="P12" s="2"/>
      <c r="Q12" s="2"/>
      <c r="R12" s="2"/>
      <c r="S12" s="2"/>
      <c r="T12" s="2"/>
      <c r="U12" s="2"/>
      <c r="V12" s="2"/>
      <c r="W12" s="2"/>
      <c r="X12" s="2"/>
      <c r="Y12" s="2"/>
      <c r="Z12" s="2"/>
    </row>
    <row r="13">
      <c r="A13" s="36" t="s">
        <v>521</v>
      </c>
      <c r="B13" s="177">
        <v>3600000.0</v>
      </c>
      <c r="C13" s="16" t="s">
        <v>513</v>
      </c>
      <c r="D13" s="178" t="s">
        <v>720</v>
      </c>
      <c r="E13" s="39"/>
      <c r="F13" s="39"/>
      <c r="G13" s="40"/>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174" t="s">
        <v>721</v>
      </c>
      <c r="B15" s="39"/>
      <c r="C15" s="39"/>
      <c r="D15" s="39"/>
      <c r="E15" s="39"/>
      <c r="F15" s="39"/>
      <c r="G15" s="39"/>
      <c r="H15" s="39"/>
      <c r="I15" s="39"/>
      <c r="J15" s="40"/>
      <c r="K15" s="2"/>
      <c r="L15" s="2"/>
      <c r="M15" s="2"/>
      <c r="N15" s="2"/>
      <c r="O15" s="2"/>
      <c r="P15" s="2"/>
      <c r="Q15" s="2"/>
      <c r="R15" s="2"/>
      <c r="S15" s="2"/>
      <c r="T15" s="2"/>
      <c r="U15" s="2"/>
      <c r="V15" s="2"/>
      <c r="W15" s="2"/>
      <c r="X15" s="2"/>
      <c r="Y15" s="2"/>
      <c r="Z15" s="2"/>
    </row>
    <row r="16">
      <c r="A16" s="175" t="s">
        <v>246</v>
      </c>
      <c r="B16" s="175" t="s">
        <v>722</v>
      </c>
      <c r="C16" s="175" t="s">
        <v>123</v>
      </c>
      <c r="D16" s="175" t="s">
        <v>723</v>
      </c>
      <c r="E16" s="175" t="s">
        <v>724</v>
      </c>
      <c r="F16" s="181" t="s">
        <v>725</v>
      </c>
      <c r="G16" s="175" t="s">
        <v>726</v>
      </c>
      <c r="H16" s="175" t="s">
        <v>247</v>
      </c>
      <c r="I16" s="175" t="s">
        <v>727</v>
      </c>
      <c r="J16" s="175" t="s">
        <v>697</v>
      </c>
      <c r="K16" s="2"/>
      <c r="L16" s="2"/>
      <c r="M16" s="2"/>
      <c r="N16" s="2"/>
      <c r="O16" s="2"/>
      <c r="P16" s="2"/>
      <c r="Q16" s="2"/>
      <c r="R16" s="2"/>
      <c r="S16" s="2"/>
      <c r="T16" s="2"/>
      <c r="U16" s="2"/>
      <c r="V16" s="2"/>
      <c r="W16" s="2"/>
      <c r="X16" s="2"/>
      <c r="Y16" s="2"/>
      <c r="Z16" s="2"/>
    </row>
    <row r="17">
      <c r="A17" s="36" t="s">
        <v>728</v>
      </c>
      <c r="B17" s="16">
        <v>1.0</v>
      </c>
      <c r="C17" s="16" t="s">
        <v>729</v>
      </c>
      <c r="D17" s="182">
        <v>280000.0</v>
      </c>
      <c r="E17" s="111">
        <f t="shared" ref="E17:E27" si="1">B17*D17</f>
        <v>280000</v>
      </c>
      <c r="F17" s="183">
        <v>15.0</v>
      </c>
      <c r="G17" s="111">
        <f t="shared" ref="G17:G27" si="2">E17/F17</f>
        <v>18666.66667</v>
      </c>
      <c r="H17" s="16" t="s">
        <v>730</v>
      </c>
      <c r="I17" s="36" t="s">
        <v>731</v>
      </c>
      <c r="J17" s="36" t="s">
        <v>732</v>
      </c>
      <c r="K17" s="2"/>
      <c r="L17" s="2"/>
      <c r="M17" s="2"/>
      <c r="N17" s="2"/>
      <c r="O17" s="2"/>
      <c r="P17" s="2"/>
      <c r="Q17" s="2"/>
      <c r="R17" s="2"/>
      <c r="S17" s="2"/>
      <c r="T17" s="2"/>
      <c r="U17" s="2"/>
      <c r="V17" s="2"/>
      <c r="W17" s="2"/>
      <c r="X17" s="2"/>
      <c r="Y17" s="2"/>
      <c r="Z17" s="2"/>
    </row>
    <row r="18">
      <c r="A18" s="36" t="s">
        <v>733</v>
      </c>
      <c r="B18" s="16">
        <v>1.0</v>
      </c>
      <c r="C18" s="16" t="s">
        <v>729</v>
      </c>
      <c r="D18" s="182">
        <v>120000.0</v>
      </c>
      <c r="E18" s="111">
        <f t="shared" si="1"/>
        <v>120000</v>
      </c>
      <c r="F18" s="183">
        <v>12.0</v>
      </c>
      <c r="G18" s="111">
        <f t="shared" si="2"/>
        <v>10000</v>
      </c>
      <c r="H18" s="16" t="s">
        <v>730</v>
      </c>
      <c r="I18" s="36" t="s">
        <v>734</v>
      </c>
      <c r="J18" s="36" t="s">
        <v>735</v>
      </c>
      <c r="K18" s="2"/>
      <c r="L18" s="2"/>
      <c r="M18" s="2"/>
      <c r="N18" s="2"/>
      <c r="O18" s="2"/>
      <c r="P18" s="2"/>
      <c r="Q18" s="2"/>
      <c r="R18" s="2"/>
      <c r="S18" s="2"/>
      <c r="T18" s="2"/>
      <c r="U18" s="2"/>
      <c r="V18" s="2"/>
      <c r="W18" s="2"/>
      <c r="X18" s="2"/>
      <c r="Y18" s="2"/>
      <c r="Z18" s="2"/>
    </row>
    <row r="19">
      <c r="A19" s="36" t="s">
        <v>736</v>
      </c>
      <c r="B19" s="16">
        <v>1.0</v>
      </c>
      <c r="C19" s="16" t="s">
        <v>729</v>
      </c>
      <c r="D19" s="182">
        <v>85000.0</v>
      </c>
      <c r="E19" s="111">
        <f t="shared" si="1"/>
        <v>85000</v>
      </c>
      <c r="F19" s="183">
        <v>20.0</v>
      </c>
      <c r="G19" s="111">
        <f t="shared" si="2"/>
        <v>4250</v>
      </c>
      <c r="H19" s="16" t="s">
        <v>730</v>
      </c>
      <c r="I19" s="36" t="s">
        <v>737</v>
      </c>
      <c r="J19" s="36" t="s">
        <v>738</v>
      </c>
      <c r="K19" s="2"/>
      <c r="L19" s="2"/>
      <c r="M19" s="2"/>
      <c r="N19" s="2"/>
      <c r="O19" s="2"/>
      <c r="P19" s="2"/>
      <c r="Q19" s="2"/>
      <c r="R19" s="2"/>
      <c r="S19" s="2"/>
      <c r="T19" s="2"/>
      <c r="U19" s="2"/>
      <c r="V19" s="2"/>
      <c r="W19" s="2"/>
      <c r="X19" s="2"/>
      <c r="Y19" s="2"/>
      <c r="Z19" s="2"/>
    </row>
    <row r="20">
      <c r="A20" s="36" t="s">
        <v>739</v>
      </c>
      <c r="B20" s="16">
        <v>1.0</v>
      </c>
      <c r="C20" s="16" t="s">
        <v>729</v>
      </c>
      <c r="D20" s="182">
        <v>45000.0</v>
      </c>
      <c r="E20" s="111">
        <f t="shared" si="1"/>
        <v>45000</v>
      </c>
      <c r="F20" s="183">
        <v>12.0</v>
      </c>
      <c r="G20" s="111">
        <f t="shared" si="2"/>
        <v>3750</v>
      </c>
      <c r="H20" s="16" t="s">
        <v>740</v>
      </c>
      <c r="I20" s="36" t="s">
        <v>741</v>
      </c>
      <c r="J20" s="36" t="s">
        <v>742</v>
      </c>
      <c r="K20" s="2"/>
      <c r="L20" s="2"/>
      <c r="M20" s="2"/>
      <c r="N20" s="2"/>
      <c r="O20" s="2"/>
      <c r="P20" s="2"/>
      <c r="Q20" s="2"/>
      <c r="R20" s="2"/>
      <c r="S20" s="2"/>
      <c r="T20" s="2"/>
      <c r="U20" s="2"/>
      <c r="V20" s="2"/>
      <c r="W20" s="2"/>
      <c r="X20" s="2"/>
      <c r="Y20" s="2"/>
      <c r="Z20" s="2"/>
    </row>
    <row r="21" ht="15.75" customHeight="1">
      <c r="A21" s="36" t="s">
        <v>743</v>
      </c>
      <c r="B21" s="16">
        <v>1.0</v>
      </c>
      <c r="C21" s="16" t="s">
        <v>729</v>
      </c>
      <c r="D21" s="182">
        <v>95000.0</v>
      </c>
      <c r="E21" s="111">
        <f t="shared" si="1"/>
        <v>95000</v>
      </c>
      <c r="F21" s="183">
        <v>10.0</v>
      </c>
      <c r="G21" s="111">
        <f t="shared" si="2"/>
        <v>9500</v>
      </c>
      <c r="H21" s="16" t="s">
        <v>730</v>
      </c>
      <c r="I21" s="36" t="s">
        <v>744</v>
      </c>
      <c r="J21" s="36" t="s">
        <v>745</v>
      </c>
      <c r="K21" s="2"/>
      <c r="L21" s="2"/>
      <c r="M21" s="2"/>
      <c r="N21" s="2"/>
      <c r="O21" s="2"/>
      <c r="P21" s="2"/>
      <c r="Q21" s="2"/>
      <c r="R21" s="2"/>
      <c r="S21" s="2"/>
      <c r="T21" s="2"/>
      <c r="U21" s="2"/>
      <c r="V21" s="2"/>
      <c r="W21" s="2"/>
      <c r="X21" s="2"/>
      <c r="Y21" s="2"/>
      <c r="Z21" s="2"/>
    </row>
    <row r="22" ht="15.75" customHeight="1">
      <c r="A22" s="36" t="s">
        <v>746</v>
      </c>
      <c r="B22" s="16">
        <v>1.0</v>
      </c>
      <c r="C22" s="16" t="s">
        <v>729</v>
      </c>
      <c r="D22" s="182">
        <v>35000.0</v>
      </c>
      <c r="E22" s="111">
        <f t="shared" si="1"/>
        <v>35000</v>
      </c>
      <c r="F22" s="183">
        <v>8.0</v>
      </c>
      <c r="G22" s="111">
        <f t="shared" si="2"/>
        <v>4375</v>
      </c>
      <c r="H22" s="16" t="s">
        <v>740</v>
      </c>
      <c r="I22" s="36" t="s">
        <v>747</v>
      </c>
      <c r="J22" s="36" t="s">
        <v>748</v>
      </c>
      <c r="K22" s="2"/>
      <c r="L22" s="2"/>
      <c r="M22" s="2"/>
      <c r="N22" s="2"/>
      <c r="O22" s="2"/>
      <c r="P22" s="2"/>
      <c r="Q22" s="2"/>
      <c r="R22" s="2"/>
      <c r="S22" s="2"/>
      <c r="T22" s="2"/>
      <c r="U22" s="2"/>
      <c r="V22" s="2"/>
      <c r="W22" s="2"/>
      <c r="X22" s="2"/>
      <c r="Y22" s="2"/>
      <c r="Z22" s="2"/>
    </row>
    <row r="23" ht="15.75" customHeight="1">
      <c r="A23" s="36" t="s">
        <v>749</v>
      </c>
      <c r="B23" s="16">
        <v>1.0</v>
      </c>
      <c r="C23" s="16" t="s">
        <v>729</v>
      </c>
      <c r="D23" s="182">
        <v>40000.0</v>
      </c>
      <c r="E23" s="111">
        <f t="shared" si="1"/>
        <v>40000</v>
      </c>
      <c r="F23" s="183">
        <v>10.0</v>
      </c>
      <c r="G23" s="111">
        <f t="shared" si="2"/>
        <v>4000</v>
      </c>
      <c r="H23" s="16" t="s">
        <v>750</v>
      </c>
      <c r="I23" s="36" t="s">
        <v>751</v>
      </c>
      <c r="J23" s="36" t="s">
        <v>752</v>
      </c>
      <c r="K23" s="2"/>
      <c r="L23" s="2"/>
      <c r="M23" s="2"/>
      <c r="N23" s="2"/>
      <c r="O23" s="2"/>
      <c r="P23" s="2"/>
      <c r="Q23" s="2"/>
      <c r="R23" s="2"/>
      <c r="S23" s="2"/>
      <c r="T23" s="2"/>
      <c r="U23" s="2"/>
      <c r="V23" s="2"/>
      <c r="W23" s="2"/>
      <c r="X23" s="2"/>
      <c r="Y23" s="2"/>
      <c r="Z23" s="2"/>
    </row>
    <row r="24" ht="15.75" customHeight="1">
      <c r="A24" s="36" t="s">
        <v>753</v>
      </c>
      <c r="B24" s="16">
        <v>1.0</v>
      </c>
      <c r="C24" s="16" t="s">
        <v>729</v>
      </c>
      <c r="D24" s="182">
        <v>30000.0</v>
      </c>
      <c r="E24" s="111">
        <f t="shared" si="1"/>
        <v>30000</v>
      </c>
      <c r="F24" s="183">
        <v>8.0</v>
      </c>
      <c r="G24" s="111">
        <f t="shared" si="2"/>
        <v>3750</v>
      </c>
      <c r="H24" s="16" t="s">
        <v>730</v>
      </c>
      <c r="I24" s="36" t="s">
        <v>754</v>
      </c>
      <c r="J24" s="36" t="s">
        <v>755</v>
      </c>
      <c r="K24" s="2"/>
      <c r="L24" s="2"/>
      <c r="M24" s="2"/>
      <c r="N24" s="2"/>
      <c r="O24" s="2"/>
      <c r="P24" s="2"/>
      <c r="Q24" s="2"/>
      <c r="R24" s="2"/>
      <c r="S24" s="2"/>
      <c r="T24" s="2"/>
      <c r="U24" s="2"/>
      <c r="V24" s="2"/>
      <c r="W24" s="2"/>
      <c r="X24" s="2"/>
      <c r="Y24" s="2"/>
      <c r="Z24" s="2"/>
    </row>
    <row r="25" ht="15.75" customHeight="1">
      <c r="A25" s="36" t="s">
        <v>756</v>
      </c>
      <c r="B25" s="16">
        <v>1.0</v>
      </c>
      <c r="C25" s="16" t="s">
        <v>729</v>
      </c>
      <c r="D25" s="182">
        <v>55000.0</v>
      </c>
      <c r="E25" s="111">
        <f t="shared" si="1"/>
        <v>55000</v>
      </c>
      <c r="F25" s="183">
        <v>15.0</v>
      </c>
      <c r="G25" s="111">
        <f t="shared" si="2"/>
        <v>3666.666667</v>
      </c>
      <c r="H25" s="16" t="s">
        <v>740</v>
      </c>
      <c r="I25" s="36" t="s">
        <v>757</v>
      </c>
      <c r="J25" s="36" t="s">
        <v>758</v>
      </c>
      <c r="K25" s="2"/>
      <c r="L25" s="2"/>
      <c r="M25" s="2"/>
      <c r="N25" s="2"/>
      <c r="O25" s="2"/>
      <c r="P25" s="2"/>
      <c r="Q25" s="2"/>
      <c r="R25" s="2"/>
      <c r="S25" s="2"/>
      <c r="T25" s="2"/>
      <c r="U25" s="2"/>
      <c r="V25" s="2"/>
      <c r="W25" s="2"/>
      <c r="X25" s="2"/>
      <c r="Y25" s="2"/>
      <c r="Z25" s="2"/>
    </row>
    <row r="26" ht="15.75" customHeight="1">
      <c r="A26" s="36" t="s">
        <v>759</v>
      </c>
      <c r="B26" s="16">
        <v>1.0</v>
      </c>
      <c r="C26" s="16" t="s">
        <v>729</v>
      </c>
      <c r="D26" s="182">
        <v>45000.0</v>
      </c>
      <c r="E26" s="111">
        <f t="shared" si="1"/>
        <v>45000</v>
      </c>
      <c r="F26" s="183">
        <v>5.0</v>
      </c>
      <c r="G26" s="111">
        <f t="shared" si="2"/>
        <v>9000</v>
      </c>
      <c r="H26" s="16" t="s">
        <v>740</v>
      </c>
      <c r="I26" s="36" t="s">
        <v>760</v>
      </c>
      <c r="J26" s="36" t="s">
        <v>761</v>
      </c>
      <c r="K26" s="2"/>
      <c r="L26" s="2"/>
      <c r="M26" s="2"/>
      <c r="N26" s="2"/>
      <c r="O26" s="2"/>
      <c r="P26" s="2"/>
      <c r="Q26" s="2"/>
      <c r="R26" s="2"/>
      <c r="S26" s="2"/>
      <c r="T26" s="2"/>
      <c r="U26" s="2"/>
      <c r="V26" s="2"/>
      <c r="W26" s="2"/>
      <c r="X26" s="2"/>
      <c r="Y26" s="2"/>
      <c r="Z26" s="2"/>
    </row>
    <row r="27" ht="15.75" customHeight="1">
      <c r="A27" s="36" t="s">
        <v>763</v>
      </c>
      <c r="B27" s="16">
        <v>1.0</v>
      </c>
      <c r="C27" s="16" t="s">
        <v>729</v>
      </c>
      <c r="D27" s="182">
        <v>25000.0</v>
      </c>
      <c r="E27" s="111">
        <f t="shared" si="1"/>
        <v>25000</v>
      </c>
      <c r="F27" s="183">
        <v>5.0</v>
      </c>
      <c r="G27" s="111">
        <f t="shared" si="2"/>
        <v>5000</v>
      </c>
      <c r="H27" s="16" t="s">
        <v>750</v>
      </c>
      <c r="I27" s="36" t="s">
        <v>764</v>
      </c>
      <c r="J27" s="36" t="s">
        <v>765</v>
      </c>
      <c r="K27" s="2"/>
      <c r="L27" s="2"/>
      <c r="M27" s="2"/>
      <c r="N27" s="2"/>
      <c r="O27" s="2"/>
      <c r="P27" s="2"/>
      <c r="Q27" s="2"/>
      <c r="R27" s="2"/>
      <c r="S27" s="2"/>
      <c r="T27" s="2"/>
      <c r="U27" s="2"/>
      <c r="V27" s="2"/>
      <c r="W27" s="2"/>
      <c r="X27" s="2"/>
      <c r="Y27" s="2"/>
      <c r="Z27" s="2"/>
    </row>
    <row r="28" ht="15.75" customHeight="1">
      <c r="A28" s="1" t="s">
        <v>766</v>
      </c>
      <c r="B28" s="19"/>
      <c r="C28" s="19"/>
      <c r="D28" s="1"/>
      <c r="E28" s="184">
        <f>SUM(E17:E27)</f>
        <v>855000</v>
      </c>
      <c r="F28" s="2"/>
      <c r="G28" s="2"/>
      <c r="H28" s="2"/>
      <c r="I28" s="2"/>
      <c r="J28" s="2"/>
      <c r="K28" s="2"/>
      <c r="L28" s="2"/>
      <c r="M28" s="2"/>
      <c r="N28" s="2"/>
      <c r="O28" s="2"/>
      <c r="P28" s="2"/>
      <c r="Q28" s="2"/>
      <c r="R28" s="2"/>
      <c r="S28" s="2"/>
      <c r="T28" s="2"/>
      <c r="U28" s="2"/>
      <c r="V28" s="2"/>
      <c r="W28" s="2"/>
      <c r="X28" s="2"/>
      <c r="Y28" s="2"/>
      <c r="Z28" s="2"/>
    </row>
    <row r="29" ht="15.75" customHeight="1">
      <c r="A29" s="1" t="s">
        <v>768</v>
      </c>
      <c r="B29" s="185">
        <v>0.1</v>
      </c>
      <c r="C29" s="1"/>
      <c r="D29" s="1"/>
      <c r="E29" s="184">
        <f>E28*B29</f>
        <v>85500</v>
      </c>
      <c r="F29" s="2"/>
      <c r="G29" s="2"/>
      <c r="H29" s="2"/>
      <c r="I29" s="2"/>
      <c r="J29" s="2"/>
      <c r="K29" s="2"/>
      <c r="L29" s="2"/>
      <c r="M29" s="2"/>
      <c r="N29" s="2"/>
      <c r="O29" s="2"/>
      <c r="P29" s="2"/>
      <c r="Q29" s="2"/>
      <c r="R29" s="2"/>
      <c r="S29" s="2"/>
      <c r="T29" s="2"/>
      <c r="U29" s="2"/>
      <c r="V29" s="2"/>
      <c r="W29" s="2"/>
      <c r="X29" s="2"/>
      <c r="Y29" s="2"/>
      <c r="Z29" s="2"/>
    </row>
    <row r="30" ht="15.75" customHeight="1">
      <c r="A30" s="186" t="s">
        <v>770</v>
      </c>
      <c r="B30" s="186"/>
      <c r="C30" s="186"/>
      <c r="D30" s="186"/>
      <c r="E30" s="187">
        <f>SUM(E28:E29)</f>
        <v>940500</v>
      </c>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74" t="s">
        <v>772</v>
      </c>
      <c r="B32" s="39"/>
      <c r="C32" s="39"/>
      <c r="D32" s="39"/>
      <c r="E32" s="39"/>
      <c r="F32" s="39"/>
      <c r="G32" s="39"/>
      <c r="H32" s="39"/>
      <c r="I32" s="40"/>
      <c r="J32" s="188"/>
      <c r="K32" s="2"/>
      <c r="L32" s="2"/>
      <c r="M32" s="2"/>
      <c r="N32" s="2"/>
      <c r="O32" s="2"/>
      <c r="P32" s="2"/>
      <c r="Q32" s="2"/>
      <c r="R32" s="2"/>
      <c r="S32" s="2"/>
      <c r="T32" s="2"/>
      <c r="U32" s="2"/>
      <c r="V32" s="2"/>
      <c r="W32" s="2"/>
      <c r="X32" s="2"/>
      <c r="Y32" s="2"/>
      <c r="Z32" s="2"/>
    </row>
    <row r="33" ht="15.75" customHeight="1">
      <c r="A33" s="175" t="s">
        <v>774</v>
      </c>
      <c r="B33" s="175" t="s">
        <v>775</v>
      </c>
      <c r="C33" s="175" t="s">
        <v>123</v>
      </c>
      <c r="D33" s="175" t="s">
        <v>776</v>
      </c>
      <c r="E33" s="175" t="s">
        <v>777</v>
      </c>
      <c r="F33" s="175" t="s">
        <v>778</v>
      </c>
      <c r="G33" s="175" t="s">
        <v>779</v>
      </c>
      <c r="H33" s="176" t="s">
        <v>780</v>
      </c>
      <c r="I33" s="40"/>
      <c r="J33" s="2"/>
      <c r="K33" s="2"/>
      <c r="L33" s="2"/>
      <c r="M33" s="2"/>
      <c r="N33" s="2"/>
      <c r="O33" s="2"/>
      <c r="P33" s="2"/>
      <c r="Q33" s="2"/>
      <c r="R33" s="2"/>
      <c r="S33" s="2"/>
      <c r="T33" s="2"/>
      <c r="U33" s="2"/>
      <c r="V33" s="2"/>
      <c r="W33" s="2"/>
      <c r="X33" s="2"/>
      <c r="Y33" s="2"/>
      <c r="Z33" s="2"/>
    </row>
    <row r="34" ht="15.75" customHeight="1">
      <c r="A34" s="36" t="s">
        <v>819</v>
      </c>
      <c r="B34" s="191"/>
      <c r="C34" s="16" t="s">
        <v>823</v>
      </c>
      <c r="D34" s="192">
        <f>$B$6/$B$7</f>
        <v>12000</v>
      </c>
      <c r="E34" s="192">
        <v>0.0</v>
      </c>
      <c r="F34" s="192">
        <f t="shared" ref="F34:F45" si="3">E34-D34</f>
        <v>-12000</v>
      </c>
      <c r="G34" s="36" t="s">
        <v>826</v>
      </c>
      <c r="H34" s="178" t="s">
        <v>827</v>
      </c>
      <c r="I34" s="40"/>
      <c r="J34" s="2"/>
      <c r="K34" s="2"/>
      <c r="L34" s="2"/>
      <c r="M34" s="2"/>
      <c r="N34" s="2"/>
      <c r="O34" s="2"/>
      <c r="P34" s="2"/>
      <c r="Q34" s="2"/>
      <c r="R34" s="2"/>
      <c r="S34" s="2"/>
      <c r="T34" s="2"/>
      <c r="U34" s="2"/>
      <c r="V34" s="2"/>
      <c r="W34" s="2"/>
      <c r="X34" s="2"/>
      <c r="Y34" s="2"/>
      <c r="Z34" s="2"/>
    </row>
    <row r="35" ht="15.75" customHeight="1">
      <c r="A35" s="36" t="s">
        <v>828</v>
      </c>
      <c r="B35" s="191"/>
      <c r="C35" s="16" t="s">
        <v>823</v>
      </c>
      <c r="D35" s="192">
        <v>0.0</v>
      </c>
      <c r="E35" s="192">
        <f>$B$6*$B$10/$B$8</f>
        <v>13125</v>
      </c>
      <c r="F35" s="192">
        <f t="shared" si="3"/>
        <v>13125</v>
      </c>
      <c r="G35" s="36" t="s">
        <v>829</v>
      </c>
      <c r="H35" s="178" t="s">
        <v>830</v>
      </c>
      <c r="I35" s="40"/>
      <c r="J35" s="2"/>
      <c r="K35" s="2"/>
      <c r="L35" s="2"/>
      <c r="M35" s="2"/>
      <c r="N35" s="2"/>
      <c r="O35" s="2"/>
      <c r="P35" s="2"/>
      <c r="Q35" s="2"/>
      <c r="R35" s="2"/>
      <c r="S35" s="2"/>
      <c r="T35" s="2"/>
      <c r="U35" s="2"/>
      <c r="V35" s="2"/>
      <c r="W35" s="2"/>
      <c r="X35" s="2"/>
      <c r="Y35" s="2"/>
      <c r="Z35" s="2"/>
    </row>
    <row r="36" ht="15.75" customHeight="1">
      <c r="A36" s="36" t="s">
        <v>831</v>
      </c>
      <c r="B36" s="191"/>
      <c r="C36" s="16" t="s">
        <v>823</v>
      </c>
      <c r="D36" s="192">
        <v>0.0</v>
      </c>
      <c r="E36" s="192">
        <f>$B$6*$B$11/$B$9</f>
        <v>5000</v>
      </c>
      <c r="F36" s="192">
        <f t="shared" si="3"/>
        <v>5000</v>
      </c>
      <c r="G36" s="36" t="s">
        <v>829</v>
      </c>
      <c r="H36" s="178" t="s">
        <v>832</v>
      </c>
      <c r="I36" s="40"/>
      <c r="J36" s="2"/>
      <c r="K36" s="2"/>
      <c r="L36" s="2"/>
      <c r="M36" s="2"/>
      <c r="N36" s="2"/>
      <c r="O36" s="2"/>
      <c r="P36" s="2"/>
      <c r="Q36" s="2"/>
      <c r="R36" s="2"/>
      <c r="S36" s="2"/>
      <c r="T36" s="2"/>
      <c r="U36" s="2"/>
      <c r="V36" s="2"/>
      <c r="W36" s="2"/>
      <c r="X36" s="2"/>
      <c r="Y36" s="2"/>
      <c r="Z36" s="2"/>
    </row>
    <row r="37" ht="15.75" customHeight="1">
      <c r="A37" s="36" t="s">
        <v>833</v>
      </c>
      <c r="B37" s="191"/>
      <c r="C37" s="16" t="s">
        <v>834</v>
      </c>
      <c r="D37" s="192">
        <f>D34*2750000</f>
        <v>33000000000</v>
      </c>
      <c r="E37" s="192">
        <f>E35*$B$12+E36*$B$13</f>
        <v>43593750000</v>
      </c>
      <c r="F37" s="192">
        <f t="shared" si="3"/>
        <v>10593750000</v>
      </c>
      <c r="G37" s="36" t="s">
        <v>835</v>
      </c>
      <c r="H37" s="178" t="s">
        <v>836</v>
      </c>
      <c r="I37" s="40"/>
      <c r="J37" s="2"/>
      <c r="K37" s="2"/>
      <c r="L37" s="2"/>
      <c r="M37" s="2"/>
      <c r="N37" s="2"/>
      <c r="O37" s="2"/>
      <c r="P37" s="2"/>
      <c r="Q37" s="2"/>
      <c r="R37" s="2"/>
      <c r="S37" s="2"/>
      <c r="T37" s="2"/>
      <c r="U37" s="2"/>
      <c r="V37" s="2"/>
      <c r="W37" s="2"/>
      <c r="X37" s="2"/>
      <c r="Y37" s="2"/>
      <c r="Z37" s="2"/>
    </row>
    <row r="38" ht="15.75" customHeight="1">
      <c r="A38" s="36" t="s">
        <v>409</v>
      </c>
      <c r="B38" s="193">
        <v>150000.0</v>
      </c>
      <c r="C38" s="16" t="s">
        <v>513</v>
      </c>
      <c r="D38" s="192">
        <v>0.0</v>
      </c>
      <c r="E38" s="192">
        <f>(E35+E36)*B38</f>
        <v>2718750000</v>
      </c>
      <c r="F38" s="192">
        <f t="shared" si="3"/>
        <v>2718750000</v>
      </c>
      <c r="G38" s="36" t="s">
        <v>837</v>
      </c>
      <c r="H38" s="36" t="s">
        <v>765</v>
      </c>
      <c r="I38" s="5"/>
      <c r="J38" s="2"/>
      <c r="K38" s="2"/>
      <c r="L38" s="2"/>
      <c r="M38" s="2"/>
      <c r="N38" s="2"/>
      <c r="O38" s="2"/>
      <c r="P38" s="2"/>
      <c r="Q38" s="2"/>
      <c r="R38" s="2"/>
      <c r="S38" s="2"/>
      <c r="T38" s="2"/>
      <c r="U38" s="2"/>
      <c r="V38" s="2"/>
      <c r="W38" s="2"/>
      <c r="X38" s="2"/>
      <c r="Y38" s="2"/>
      <c r="Z38" s="2"/>
    </row>
    <row r="39" ht="15.75" customHeight="1">
      <c r="A39" s="36" t="s">
        <v>838</v>
      </c>
      <c r="B39" s="193">
        <v>4.2E8</v>
      </c>
      <c r="C39" s="16" t="s">
        <v>834</v>
      </c>
      <c r="D39" s="192">
        <v>0.0</v>
      </c>
      <c r="E39" s="192">
        <f>B39</f>
        <v>420000000</v>
      </c>
      <c r="F39" s="192">
        <f t="shared" si="3"/>
        <v>420000000</v>
      </c>
      <c r="G39" s="36" t="s">
        <v>839</v>
      </c>
      <c r="H39" s="178" t="s">
        <v>840</v>
      </c>
      <c r="I39" s="40"/>
      <c r="J39" s="2"/>
      <c r="K39" s="2"/>
      <c r="L39" s="2"/>
      <c r="M39" s="2"/>
      <c r="N39" s="2"/>
      <c r="O39" s="2"/>
      <c r="P39" s="2"/>
      <c r="Q39" s="2"/>
      <c r="R39" s="2"/>
      <c r="S39" s="2"/>
      <c r="T39" s="2"/>
      <c r="U39" s="2"/>
      <c r="V39" s="2"/>
      <c r="W39" s="2"/>
      <c r="X39" s="2"/>
      <c r="Y39" s="2"/>
      <c r="Z39" s="2"/>
    </row>
    <row r="40" ht="15.75" customHeight="1">
      <c r="A40" s="36" t="s">
        <v>841</v>
      </c>
      <c r="B40" s="194">
        <v>0.025</v>
      </c>
      <c r="C40" s="16" t="s">
        <v>842</v>
      </c>
      <c r="D40" s="192">
        <v>2.5E8</v>
      </c>
      <c r="E40" s="192">
        <f>$E$30*B40*25500</f>
        <v>599568750</v>
      </c>
      <c r="F40" s="192">
        <f t="shared" si="3"/>
        <v>349568750</v>
      </c>
      <c r="G40" s="36" t="s">
        <v>843</v>
      </c>
      <c r="H40" s="178" t="s">
        <v>844</v>
      </c>
      <c r="I40" s="40"/>
      <c r="J40" s="2"/>
      <c r="K40" s="2"/>
      <c r="L40" s="2"/>
      <c r="M40" s="2"/>
      <c r="N40" s="2"/>
      <c r="O40" s="2"/>
      <c r="P40" s="2"/>
      <c r="Q40" s="2"/>
      <c r="R40" s="2"/>
      <c r="S40" s="2"/>
      <c r="T40" s="2"/>
      <c r="U40" s="2"/>
      <c r="V40" s="2"/>
      <c r="W40" s="2"/>
      <c r="X40" s="2"/>
      <c r="Y40" s="2"/>
      <c r="Z40" s="2"/>
    </row>
    <row r="41" ht="15.75" customHeight="1">
      <c r="A41" s="36" t="s">
        <v>457</v>
      </c>
      <c r="B41" s="193">
        <v>1.8E8</v>
      </c>
      <c r="C41" s="16" t="s">
        <v>834</v>
      </c>
      <c r="D41" s="192">
        <v>1.2E8</v>
      </c>
      <c r="E41" s="192">
        <f>B41</f>
        <v>180000000</v>
      </c>
      <c r="F41" s="192">
        <f t="shared" si="3"/>
        <v>60000000</v>
      </c>
      <c r="G41" s="36" t="s">
        <v>839</v>
      </c>
      <c r="H41" s="36" t="s">
        <v>845</v>
      </c>
      <c r="I41" s="5"/>
      <c r="J41" s="2"/>
      <c r="K41" s="2"/>
      <c r="L41" s="2"/>
      <c r="M41" s="2"/>
      <c r="N41" s="2"/>
      <c r="O41" s="2"/>
      <c r="P41" s="2"/>
      <c r="Q41" s="2"/>
      <c r="R41" s="2"/>
      <c r="S41" s="2"/>
      <c r="T41" s="2"/>
      <c r="U41" s="2"/>
      <c r="V41" s="2"/>
      <c r="W41" s="2"/>
      <c r="X41" s="2"/>
      <c r="Y41" s="2"/>
      <c r="Z41" s="2"/>
    </row>
    <row r="42" ht="15.75" customHeight="1">
      <c r="A42" s="36" t="s">
        <v>846</v>
      </c>
      <c r="B42" s="193">
        <v>90000.0</v>
      </c>
      <c r="C42" s="16" t="s">
        <v>528</v>
      </c>
      <c r="D42" s="192">
        <f>D34*B42</f>
        <v>1080000000</v>
      </c>
      <c r="E42" s="192">
        <f>(E35+E36)*B42</f>
        <v>1631250000</v>
      </c>
      <c r="F42" s="192">
        <f t="shared" si="3"/>
        <v>551250000</v>
      </c>
      <c r="G42" s="36" t="s">
        <v>847</v>
      </c>
      <c r="H42" s="36" t="s">
        <v>848</v>
      </c>
      <c r="I42" s="5"/>
      <c r="J42" s="2"/>
      <c r="K42" s="2"/>
      <c r="L42" s="2"/>
      <c r="M42" s="2"/>
      <c r="N42" s="2"/>
      <c r="O42" s="2"/>
      <c r="P42" s="2"/>
      <c r="Q42" s="2"/>
      <c r="R42" s="2"/>
      <c r="S42" s="2"/>
      <c r="T42" s="2"/>
      <c r="U42" s="2"/>
      <c r="V42" s="2"/>
      <c r="W42" s="2"/>
      <c r="X42" s="2"/>
      <c r="Y42" s="2"/>
      <c r="Z42" s="2"/>
    </row>
    <row r="43" ht="15.75" customHeight="1">
      <c r="A43" s="36" t="s">
        <v>464</v>
      </c>
      <c r="B43" s="193">
        <v>1.6E8</v>
      </c>
      <c r="C43" s="16" t="s">
        <v>834</v>
      </c>
      <c r="D43" s="192">
        <v>1.1E8</v>
      </c>
      <c r="E43" s="192">
        <f t="shared" ref="E43:E44" si="4">B43</f>
        <v>160000000</v>
      </c>
      <c r="F43" s="192">
        <f t="shared" si="3"/>
        <v>50000000</v>
      </c>
      <c r="G43" s="36" t="s">
        <v>839</v>
      </c>
      <c r="H43" s="36" t="s">
        <v>849</v>
      </c>
      <c r="I43" s="5"/>
      <c r="J43" s="2"/>
      <c r="K43" s="2"/>
      <c r="L43" s="2"/>
      <c r="M43" s="2"/>
      <c r="N43" s="2"/>
      <c r="O43" s="2"/>
      <c r="P43" s="2"/>
      <c r="Q43" s="2"/>
      <c r="R43" s="2"/>
      <c r="S43" s="2"/>
      <c r="T43" s="2"/>
      <c r="U43" s="2"/>
      <c r="V43" s="2"/>
      <c r="W43" s="2"/>
      <c r="X43" s="2"/>
      <c r="Y43" s="2"/>
      <c r="Z43" s="2"/>
    </row>
    <row r="44" ht="15.75" customHeight="1">
      <c r="A44" s="36" t="s">
        <v>850</v>
      </c>
      <c r="B44" s="193">
        <v>1.2E8</v>
      </c>
      <c r="C44" s="16" t="s">
        <v>834</v>
      </c>
      <c r="D44" s="192">
        <v>3.0E7</v>
      </c>
      <c r="E44" s="192">
        <f t="shared" si="4"/>
        <v>120000000</v>
      </c>
      <c r="F44" s="192">
        <f t="shared" si="3"/>
        <v>90000000</v>
      </c>
      <c r="G44" s="36" t="s">
        <v>839</v>
      </c>
      <c r="H44" s="36" t="s">
        <v>851</v>
      </c>
      <c r="I44" s="5"/>
      <c r="J44" s="2"/>
      <c r="K44" s="2"/>
      <c r="L44" s="2"/>
      <c r="M44" s="2"/>
      <c r="N44" s="2"/>
      <c r="O44" s="2"/>
      <c r="P44" s="2"/>
      <c r="Q44" s="2"/>
      <c r="R44" s="2"/>
      <c r="S44" s="2"/>
      <c r="T44" s="2"/>
      <c r="U44" s="2"/>
      <c r="V44" s="2"/>
      <c r="W44" s="2"/>
      <c r="X44" s="2"/>
      <c r="Y44" s="2"/>
      <c r="Z44" s="2"/>
    </row>
    <row r="45" ht="15.75" customHeight="1">
      <c r="A45" s="195" t="s">
        <v>852</v>
      </c>
      <c r="B45" s="195"/>
      <c r="C45" s="196" t="s">
        <v>834</v>
      </c>
      <c r="D45" s="197">
        <f t="shared" ref="D45:E45" si="5">SUM(D37:D44)</f>
        <v>34590000000</v>
      </c>
      <c r="E45" s="197">
        <f t="shared" si="5"/>
        <v>49423318750</v>
      </c>
      <c r="F45" s="197">
        <f t="shared" si="3"/>
        <v>14833318750</v>
      </c>
      <c r="G45" s="7"/>
      <c r="H45" s="7"/>
      <c r="I45" s="7"/>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74" t="s">
        <v>853</v>
      </c>
      <c r="B47" s="39"/>
      <c r="C47" s="39"/>
      <c r="D47" s="39"/>
      <c r="E47" s="39"/>
      <c r="F47" s="39"/>
      <c r="G47" s="39"/>
      <c r="H47" s="39"/>
      <c r="I47" s="40"/>
      <c r="J47" s="188"/>
      <c r="K47" s="2"/>
      <c r="L47" s="2"/>
      <c r="M47" s="2"/>
      <c r="N47" s="2"/>
      <c r="O47" s="2"/>
      <c r="P47" s="2"/>
      <c r="Q47" s="2"/>
      <c r="R47" s="2"/>
      <c r="S47" s="2"/>
      <c r="T47" s="2"/>
      <c r="U47" s="2"/>
      <c r="V47" s="2"/>
      <c r="W47" s="2"/>
      <c r="X47" s="2"/>
      <c r="Y47" s="2"/>
      <c r="Z47" s="2"/>
    </row>
    <row r="48" ht="15.75" customHeight="1">
      <c r="A48" s="175" t="s">
        <v>854</v>
      </c>
      <c r="B48" s="175" t="s">
        <v>776</v>
      </c>
      <c r="C48" s="175" t="s">
        <v>777</v>
      </c>
      <c r="D48" s="175" t="s">
        <v>855</v>
      </c>
      <c r="E48" s="175" t="s">
        <v>123</v>
      </c>
      <c r="F48" s="176" t="s">
        <v>856</v>
      </c>
      <c r="G48" s="39"/>
      <c r="H48" s="39"/>
      <c r="I48" s="40"/>
      <c r="J48" s="2"/>
      <c r="K48" s="2"/>
      <c r="L48" s="2"/>
      <c r="M48" s="2"/>
      <c r="N48" s="2"/>
      <c r="O48" s="2"/>
      <c r="P48" s="2"/>
      <c r="Q48" s="2"/>
      <c r="R48" s="2"/>
      <c r="S48" s="2"/>
      <c r="T48" s="2"/>
      <c r="U48" s="2"/>
      <c r="V48" s="2"/>
      <c r="W48" s="2"/>
      <c r="X48" s="2"/>
      <c r="Y48" s="2"/>
      <c r="Z48" s="2"/>
    </row>
    <row r="49" ht="15.75" customHeight="1">
      <c r="A49" s="36" t="s">
        <v>857</v>
      </c>
      <c r="B49" s="198">
        <f>D34*2.365</f>
        <v>28380</v>
      </c>
      <c r="C49" s="198">
        <f>E35*0.16+E36*0.126</f>
        <v>2730</v>
      </c>
      <c r="D49" s="198">
        <f t="shared" ref="D49:D50" si="7">B49-C49</f>
        <v>25650</v>
      </c>
      <c r="E49" s="16" t="s">
        <v>898</v>
      </c>
      <c r="F49" s="178" t="s">
        <v>900</v>
      </c>
      <c r="G49" s="39"/>
      <c r="H49" s="39"/>
      <c r="I49" s="40"/>
      <c r="J49" s="2"/>
      <c r="K49" s="2"/>
      <c r="L49" s="2"/>
      <c r="M49" s="2"/>
      <c r="N49" s="2"/>
      <c r="O49" s="2"/>
      <c r="P49" s="2"/>
      <c r="Q49" s="2"/>
      <c r="R49" s="2"/>
      <c r="S49" s="2"/>
      <c r="T49" s="2"/>
      <c r="U49" s="2"/>
      <c r="V49" s="2"/>
      <c r="W49" s="2"/>
      <c r="X49" s="2"/>
      <c r="Y49" s="2"/>
      <c r="Z49" s="2"/>
    </row>
    <row r="50" ht="15.75" customHeight="1">
      <c r="A50" s="36" t="s">
        <v>901</v>
      </c>
      <c r="B50" s="198">
        <f t="shared" ref="B50:C50" si="6">B49*1000/$B$6</f>
        <v>94.6</v>
      </c>
      <c r="C50" s="198">
        <f t="shared" si="6"/>
        <v>9.1</v>
      </c>
      <c r="D50" s="198">
        <f t="shared" si="7"/>
        <v>85.5</v>
      </c>
      <c r="E50" s="16" t="s">
        <v>138</v>
      </c>
      <c r="F50" s="178" t="s">
        <v>902</v>
      </c>
      <c r="G50" s="39"/>
      <c r="H50" s="39"/>
      <c r="I50" s="40"/>
      <c r="J50" s="2"/>
      <c r="K50" s="2"/>
      <c r="L50" s="2"/>
      <c r="M50" s="2"/>
      <c r="N50" s="2"/>
      <c r="O50" s="2"/>
      <c r="P50" s="2"/>
      <c r="Q50" s="2"/>
      <c r="R50" s="2"/>
      <c r="S50" s="2"/>
      <c r="T50" s="2"/>
      <c r="U50" s="2"/>
      <c r="V50" s="2"/>
      <c r="W50" s="2"/>
      <c r="X50" s="2"/>
      <c r="Y50" s="2"/>
      <c r="Z50" s="2"/>
    </row>
    <row r="51" ht="15.75" customHeight="1">
      <c r="A51" s="36" t="s">
        <v>912</v>
      </c>
      <c r="B51" s="16"/>
      <c r="C51" s="16"/>
      <c r="D51" s="201">
        <f>1-C49/B49</f>
        <v>0.9038054968</v>
      </c>
      <c r="E51" s="16" t="s">
        <v>665</v>
      </c>
      <c r="F51" s="178" t="s">
        <v>914</v>
      </c>
      <c r="G51" s="39"/>
      <c r="H51" s="39"/>
      <c r="I51" s="40"/>
      <c r="J51" s="2"/>
      <c r="K51" s="2"/>
      <c r="L51" s="2"/>
      <c r="M51" s="2"/>
      <c r="N51" s="2"/>
      <c r="O51" s="2"/>
      <c r="P51" s="2"/>
      <c r="Q51" s="2"/>
      <c r="R51" s="2"/>
      <c r="S51" s="2"/>
      <c r="T51" s="2"/>
      <c r="U51" s="2"/>
      <c r="V51" s="2"/>
      <c r="W51" s="2"/>
      <c r="X51" s="2"/>
      <c r="Y51" s="2"/>
      <c r="Z51" s="2"/>
    </row>
    <row r="52" ht="15.75" customHeight="1">
      <c r="A52" s="36" t="s">
        <v>915</v>
      </c>
      <c r="B52" s="16"/>
      <c r="C52" s="16"/>
      <c r="D52" s="202">
        <f>E45-D45</f>
        <v>14833318750</v>
      </c>
      <c r="E52" s="16" t="s">
        <v>834</v>
      </c>
      <c r="F52" s="178" t="s">
        <v>917</v>
      </c>
      <c r="G52" s="39"/>
      <c r="H52" s="39"/>
      <c r="I52" s="40"/>
      <c r="J52" s="2"/>
      <c r="K52" s="2"/>
      <c r="L52" s="2"/>
      <c r="M52" s="2"/>
      <c r="N52" s="2"/>
      <c r="O52" s="2"/>
      <c r="P52" s="2"/>
      <c r="Q52" s="2"/>
      <c r="R52" s="2"/>
      <c r="S52" s="2"/>
      <c r="T52" s="2"/>
      <c r="U52" s="2"/>
      <c r="V52" s="2"/>
      <c r="W52" s="2"/>
      <c r="X52" s="2"/>
      <c r="Y52" s="2"/>
      <c r="Z52" s="2"/>
    </row>
    <row r="53" ht="15.75" customHeight="1">
      <c r="A53" s="36" t="s">
        <v>918</v>
      </c>
      <c r="B53" s="36"/>
      <c r="C53" s="169">
        <f>$E$30</f>
        <v>940500</v>
      </c>
      <c r="D53" s="36"/>
      <c r="E53" s="16" t="s">
        <v>674</v>
      </c>
      <c r="F53" s="178" t="s">
        <v>919</v>
      </c>
      <c r="G53" s="39"/>
      <c r="H53" s="39"/>
      <c r="I53" s="40"/>
      <c r="J53" s="2"/>
      <c r="K53" s="2"/>
      <c r="L53" s="2"/>
      <c r="M53" s="2"/>
      <c r="N53" s="2"/>
      <c r="O53" s="2"/>
      <c r="P53" s="2"/>
      <c r="Q53" s="2"/>
      <c r="R53" s="2"/>
      <c r="S53" s="2"/>
      <c r="T53" s="2"/>
      <c r="U53" s="2"/>
      <c r="V53" s="2"/>
      <c r="W53" s="2"/>
      <c r="X53" s="2"/>
      <c r="Y53" s="2"/>
      <c r="Z53" s="2"/>
    </row>
    <row r="54" ht="15.75" customHeight="1">
      <c r="A54" s="36" t="s">
        <v>920</v>
      </c>
      <c r="B54" s="36"/>
      <c r="C54" s="169">
        <f>SUM(G17:G27)</f>
        <v>75958.33333</v>
      </c>
      <c r="D54" s="36"/>
      <c r="E54" s="16" t="s">
        <v>922</v>
      </c>
      <c r="F54" s="178" t="s">
        <v>923</v>
      </c>
      <c r="G54" s="39"/>
      <c r="H54" s="39"/>
      <c r="I54" s="40"/>
      <c r="J54" s="2"/>
      <c r="K54" s="2"/>
      <c r="L54" s="2"/>
      <c r="M54" s="2"/>
      <c r="N54" s="2"/>
      <c r="O54" s="2"/>
      <c r="P54" s="2"/>
      <c r="Q54" s="2"/>
      <c r="R54" s="2"/>
      <c r="S54" s="2"/>
      <c r="T54" s="2"/>
      <c r="U54" s="2"/>
      <c r="V54" s="2"/>
      <c r="W54" s="2"/>
      <c r="X54" s="2"/>
      <c r="Y54" s="2"/>
      <c r="Z54" s="2"/>
    </row>
    <row r="55" ht="15.75" customHeight="1">
      <c r="A55" s="203" t="s">
        <v>924</v>
      </c>
      <c r="B55" s="203"/>
      <c r="C55" s="203"/>
      <c r="D55" s="203"/>
      <c r="E55" s="203"/>
      <c r="F55" s="204" t="s">
        <v>925</v>
      </c>
      <c r="G55" s="39"/>
      <c r="H55" s="39"/>
      <c r="I55" s="40"/>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A1:J1"/>
    <mergeCell ref="A2:J2"/>
    <mergeCell ref="A4:G4"/>
    <mergeCell ref="D5:G5"/>
    <mergeCell ref="D6:G6"/>
    <mergeCell ref="D7:G7"/>
    <mergeCell ref="D8:G8"/>
    <mergeCell ref="D9:G9"/>
    <mergeCell ref="D10:G10"/>
    <mergeCell ref="D11:G11"/>
    <mergeCell ref="D12:G12"/>
    <mergeCell ref="D13:G13"/>
    <mergeCell ref="A15:J15"/>
    <mergeCell ref="A32:I32"/>
    <mergeCell ref="H33:I33"/>
    <mergeCell ref="H34:I34"/>
    <mergeCell ref="H35:I35"/>
    <mergeCell ref="H36:I36"/>
    <mergeCell ref="H37:I37"/>
    <mergeCell ref="H39:I39"/>
    <mergeCell ref="H40:I40"/>
    <mergeCell ref="F54:I54"/>
    <mergeCell ref="F55:I55"/>
    <mergeCell ref="A47:I47"/>
    <mergeCell ref="F48:I48"/>
    <mergeCell ref="F49:I49"/>
    <mergeCell ref="F50:I50"/>
    <mergeCell ref="F51:I51"/>
    <mergeCell ref="F52:I52"/>
    <mergeCell ref="F53:I5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30.0"/>
    <col customWidth="1" min="3" max="3" width="38.86"/>
    <col customWidth="1" min="4" max="4" width="17.71"/>
    <col customWidth="1" min="5" max="5" width="16.29"/>
    <col customWidth="1" min="6" max="6" width="14.0"/>
    <col customWidth="1" min="7" max="7" width="17.0"/>
    <col customWidth="1" min="8" max="8" width="15.0"/>
    <col customWidth="1" min="9" max="9" width="14.0"/>
    <col customWidth="1" min="10" max="10" width="18.0"/>
    <col customWidth="1" min="11" max="12" width="16.0"/>
    <col customWidth="1" min="13" max="13" width="18.0"/>
    <col customWidth="1" min="14" max="14" width="37.14"/>
    <col customWidth="1" min="15" max="26" width="9.0"/>
  </cols>
  <sheetData>
    <row r="1">
      <c r="A1" s="171" t="s">
        <v>955</v>
      </c>
      <c r="B1" s="4"/>
      <c r="C1" s="4"/>
      <c r="D1" s="4"/>
      <c r="E1" s="4"/>
      <c r="F1" s="4"/>
      <c r="G1" s="4"/>
      <c r="H1" s="4"/>
      <c r="I1" s="4"/>
      <c r="J1" s="4"/>
      <c r="K1" s="4"/>
      <c r="L1" s="4"/>
      <c r="M1" s="4"/>
      <c r="N1" s="6"/>
      <c r="O1" s="2"/>
      <c r="P1" s="2"/>
      <c r="Q1" s="2"/>
      <c r="R1" s="2"/>
      <c r="S1" s="2"/>
      <c r="T1" s="2"/>
      <c r="U1" s="2"/>
      <c r="V1" s="2"/>
      <c r="W1" s="2"/>
      <c r="X1" s="2"/>
      <c r="Y1" s="2"/>
      <c r="Z1" s="2"/>
    </row>
    <row r="2">
      <c r="A2" s="172" t="s">
        <v>956</v>
      </c>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74" t="s">
        <v>957</v>
      </c>
      <c r="B4" s="39"/>
      <c r="C4" s="39"/>
      <c r="D4" s="39"/>
      <c r="E4" s="39"/>
      <c r="F4" s="39"/>
      <c r="G4" s="39"/>
      <c r="H4" s="39"/>
      <c r="I4" s="39"/>
      <c r="J4" s="40"/>
      <c r="K4" s="188"/>
      <c r="L4" s="188"/>
      <c r="M4" s="188"/>
      <c r="N4" s="188"/>
      <c r="O4" s="2"/>
      <c r="P4" s="2"/>
      <c r="Q4" s="2"/>
      <c r="R4" s="2"/>
      <c r="S4" s="2"/>
      <c r="T4" s="2"/>
      <c r="U4" s="2"/>
      <c r="V4" s="2"/>
      <c r="W4" s="2"/>
      <c r="X4" s="2"/>
      <c r="Y4" s="2"/>
      <c r="Z4" s="2"/>
    </row>
    <row r="5">
      <c r="A5" s="175" t="s">
        <v>958</v>
      </c>
      <c r="B5" s="175" t="s">
        <v>959</v>
      </c>
      <c r="C5" s="175" t="s">
        <v>960</v>
      </c>
      <c r="D5" s="175" t="s">
        <v>961</v>
      </c>
      <c r="E5" s="175" t="s">
        <v>962</v>
      </c>
      <c r="F5" s="175" t="s">
        <v>963</v>
      </c>
      <c r="G5" s="175" t="s">
        <v>964</v>
      </c>
      <c r="H5" s="175" t="s">
        <v>965</v>
      </c>
      <c r="I5" s="175" t="s">
        <v>966</v>
      </c>
      <c r="J5" s="175" t="s">
        <v>967</v>
      </c>
      <c r="K5" s="2"/>
      <c r="L5" s="2"/>
      <c r="M5" s="2"/>
      <c r="N5" s="2"/>
      <c r="O5" s="2"/>
      <c r="P5" s="2"/>
      <c r="Q5" s="2"/>
      <c r="R5" s="2"/>
      <c r="S5" s="2"/>
      <c r="T5" s="2"/>
      <c r="U5" s="2"/>
      <c r="V5" s="2"/>
      <c r="W5" s="2"/>
      <c r="X5" s="2"/>
      <c r="Y5" s="2"/>
      <c r="Z5" s="2"/>
    </row>
    <row r="6">
      <c r="A6" s="16" t="s">
        <v>968</v>
      </c>
      <c r="B6" s="36" t="s">
        <v>969</v>
      </c>
      <c r="C6" s="16" t="s">
        <v>970</v>
      </c>
      <c r="D6" s="208">
        <v>0.22</v>
      </c>
      <c r="E6" s="209">
        <v>0.05</v>
      </c>
      <c r="F6" s="210">
        <v>2.8</v>
      </c>
      <c r="G6" s="211">
        <v>1800000.0</v>
      </c>
      <c r="H6" s="211">
        <v>60.0</v>
      </c>
      <c r="I6" s="211">
        <v>45000.0</v>
      </c>
      <c r="J6" s="16" t="s">
        <v>971</v>
      </c>
      <c r="K6" s="2"/>
      <c r="L6" s="2"/>
      <c r="M6" s="2"/>
      <c r="N6" s="2"/>
      <c r="O6" s="2"/>
      <c r="P6" s="2"/>
      <c r="Q6" s="2"/>
      <c r="R6" s="2"/>
      <c r="S6" s="2"/>
      <c r="T6" s="2"/>
      <c r="U6" s="2"/>
      <c r="V6" s="2"/>
      <c r="W6" s="2"/>
      <c r="X6" s="2"/>
      <c r="Y6" s="2"/>
      <c r="Z6" s="2"/>
    </row>
    <row r="7">
      <c r="A7" s="16" t="s">
        <v>972</v>
      </c>
      <c r="B7" s="36" t="s">
        <v>973</v>
      </c>
      <c r="C7" s="16" t="s">
        <v>974</v>
      </c>
      <c r="D7" s="208">
        <v>0.24</v>
      </c>
      <c r="E7" s="209">
        <v>0.06</v>
      </c>
      <c r="F7" s="210">
        <v>3.1</v>
      </c>
      <c r="G7" s="211">
        <v>1200000.0</v>
      </c>
      <c r="H7" s="211">
        <v>55.0</v>
      </c>
      <c r="I7" s="211">
        <v>42000.0</v>
      </c>
      <c r="J7" s="16" t="s">
        <v>975</v>
      </c>
      <c r="K7" s="2"/>
      <c r="L7" s="2"/>
      <c r="M7" s="2"/>
      <c r="N7" s="2"/>
      <c r="O7" s="2"/>
      <c r="P7" s="2"/>
      <c r="Q7" s="2"/>
      <c r="R7" s="2"/>
      <c r="S7" s="2"/>
      <c r="T7" s="2"/>
      <c r="U7" s="2"/>
      <c r="V7" s="2"/>
      <c r="W7" s="2"/>
      <c r="X7" s="2"/>
      <c r="Y7" s="2"/>
      <c r="Z7" s="2"/>
    </row>
    <row r="8">
      <c r="A8" s="16" t="s">
        <v>976</v>
      </c>
      <c r="B8" s="36" t="s">
        <v>977</v>
      </c>
      <c r="C8" s="16" t="s">
        <v>978</v>
      </c>
      <c r="D8" s="208">
        <v>0.35</v>
      </c>
      <c r="E8" s="209">
        <v>0.07</v>
      </c>
      <c r="F8" s="210">
        <v>4.2</v>
      </c>
      <c r="G8" s="211">
        <v>850000.0</v>
      </c>
      <c r="H8" s="211">
        <v>40.0</v>
      </c>
      <c r="I8" s="211">
        <v>26000.0</v>
      </c>
      <c r="J8" s="16" t="s">
        <v>750</v>
      </c>
      <c r="K8" s="2"/>
      <c r="L8" s="2"/>
      <c r="M8" s="2"/>
      <c r="N8" s="2"/>
      <c r="O8" s="2"/>
      <c r="P8" s="2"/>
      <c r="Q8" s="2"/>
      <c r="R8" s="2"/>
      <c r="S8" s="2"/>
      <c r="T8" s="2"/>
      <c r="U8" s="2"/>
      <c r="V8" s="2"/>
      <c r="W8" s="2"/>
      <c r="X8" s="2"/>
      <c r="Y8" s="2"/>
      <c r="Z8" s="2"/>
    </row>
    <row r="9">
      <c r="A9" s="16" t="s">
        <v>979</v>
      </c>
      <c r="B9" s="36" t="s">
        <v>980</v>
      </c>
      <c r="C9" s="16" t="s">
        <v>981</v>
      </c>
      <c r="D9" s="208">
        <v>0.52</v>
      </c>
      <c r="E9" s="209">
        <v>0.08</v>
      </c>
      <c r="F9" s="210">
        <v>4.6</v>
      </c>
      <c r="G9" s="211">
        <v>520000.0</v>
      </c>
      <c r="H9" s="211">
        <v>25.0</v>
      </c>
      <c r="I9" s="211">
        <v>18000.0</v>
      </c>
      <c r="J9" s="16" t="s">
        <v>740</v>
      </c>
      <c r="K9" s="2"/>
      <c r="L9" s="2"/>
      <c r="M9" s="2"/>
      <c r="N9" s="2"/>
      <c r="O9" s="2"/>
      <c r="P9" s="2"/>
      <c r="Q9" s="2"/>
      <c r="R9" s="2"/>
      <c r="S9" s="2"/>
      <c r="T9" s="2"/>
      <c r="U9" s="2"/>
      <c r="V9" s="2"/>
      <c r="W9" s="2"/>
      <c r="X9" s="2"/>
      <c r="Y9" s="2"/>
      <c r="Z9" s="2"/>
    </row>
    <row r="10">
      <c r="A10" s="16" t="s">
        <v>982</v>
      </c>
      <c r="B10" s="36" t="s">
        <v>983</v>
      </c>
      <c r="C10" s="16" t="s">
        <v>984</v>
      </c>
      <c r="D10" s="208">
        <v>0.48</v>
      </c>
      <c r="E10" s="209">
        <v>0.06</v>
      </c>
      <c r="F10" s="210">
        <v>3.8</v>
      </c>
      <c r="G10" s="211">
        <v>650000.0</v>
      </c>
      <c r="H10" s="211">
        <v>30.0</v>
      </c>
      <c r="I10" s="211">
        <v>22000.0</v>
      </c>
      <c r="J10" s="16" t="s">
        <v>985</v>
      </c>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74" t="s">
        <v>986</v>
      </c>
      <c r="B12" s="39"/>
      <c r="C12" s="39"/>
      <c r="D12" s="39"/>
      <c r="E12" s="39"/>
      <c r="F12" s="39"/>
      <c r="G12" s="39"/>
      <c r="H12" s="39"/>
      <c r="I12" s="39"/>
      <c r="J12" s="39"/>
      <c r="K12" s="39"/>
      <c r="L12" s="39"/>
      <c r="M12" s="39"/>
      <c r="N12" s="40"/>
      <c r="O12" s="2"/>
      <c r="P12" s="2"/>
      <c r="Q12" s="2"/>
      <c r="R12" s="2"/>
      <c r="S12" s="2"/>
      <c r="T12" s="2"/>
      <c r="U12" s="2"/>
      <c r="V12" s="2"/>
      <c r="W12" s="2"/>
      <c r="X12" s="2"/>
      <c r="Y12" s="2"/>
      <c r="Z12" s="2"/>
    </row>
    <row r="13">
      <c r="A13" s="175" t="s">
        <v>958</v>
      </c>
      <c r="B13" s="175" t="s">
        <v>987</v>
      </c>
      <c r="C13" s="175" t="s">
        <v>988</v>
      </c>
      <c r="D13" s="175" t="s">
        <v>989</v>
      </c>
      <c r="E13" s="175" t="s">
        <v>990</v>
      </c>
      <c r="F13" s="175" t="s">
        <v>991</v>
      </c>
      <c r="G13" s="175" t="s">
        <v>992</v>
      </c>
      <c r="H13" s="175" t="s">
        <v>993</v>
      </c>
      <c r="I13" s="175" t="s">
        <v>994</v>
      </c>
      <c r="J13" s="175" t="s">
        <v>995</v>
      </c>
      <c r="K13" s="175" t="s">
        <v>996</v>
      </c>
      <c r="L13" s="175" t="s">
        <v>997</v>
      </c>
      <c r="M13" s="175" t="s">
        <v>998</v>
      </c>
      <c r="N13" s="175" t="s">
        <v>999</v>
      </c>
      <c r="O13" s="2"/>
      <c r="P13" s="2"/>
      <c r="Q13" s="2"/>
      <c r="R13" s="2"/>
      <c r="S13" s="2"/>
      <c r="T13" s="2"/>
      <c r="U13" s="2"/>
      <c r="V13" s="2"/>
      <c r="W13" s="2"/>
      <c r="X13" s="2"/>
      <c r="Y13" s="2"/>
      <c r="Z13" s="2"/>
    </row>
    <row r="14">
      <c r="A14" s="16" t="s">
        <v>968</v>
      </c>
      <c r="B14" s="212">
        <f>$D$6*(1+$E$6)*$F$6</f>
        <v>0.6468</v>
      </c>
      <c r="C14" s="213">
        <v>0.18</v>
      </c>
      <c r="D14" s="213">
        <v>0.22</v>
      </c>
      <c r="E14" s="213">
        <v>0.42</v>
      </c>
      <c r="F14" s="213">
        <v>0.07</v>
      </c>
      <c r="G14" s="213">
        <v>0.05</v>
      </c>
      <c r="H14" s="213">
        <v>0.12</v>
      </c>
      <c r="I14" s="213">
        <v>0.18</v>
      </c>
      <c r="J14" s="213">
        <v>0.05</v>
      </c>
      <c r="K14" s="212">
        <f t="shared" ref="K14:K18" si="1">SUM(B14:J14)</f>
        <v>1.9368</v>
      </c>
      <c r="L14" s="211">
        <v>1800000.0</v>
      </c>
      <c r="M14" s="169">
        <f t="shared" ref="M14:M18" si="2">K14*L14</f>
        <v>3486240</v>
      </c>
      <c r="N14" s="36" t="s">
        <v>1000</v>
      </c>
      <c r="O14" s="2"/>
      <c r="P14" s="2"/>
      <c r="Q14" s="2"/>
      <c r="R14" s="2"/>
      <c r="S14" s="2"/>
      <c r="T14" s="2"/>
      <c r="U14" s="2"/>
      <c r="V14" s="2"/>
      <c r="W14" s="2"/>
      <c r="X14" s="2"/>
      <c r="Y14" s="2"/>
      <c r="Z14" s="2"/>
    </row>
    <row r="15">
      <c r="A15" s="16" t="s">
        <v>972</v>
      </c>
      <c r="B15" s="212">
        <f>$D$7*(1+$E$7)*$F$7</f>
        <v>0.78864</v>
      </c>
      <c r="C15" s="213">
        <v>0.2</v>
      </c>
      <c r="D15" s="213">
        <v>0.25</v>
      </c>
      <c r="E15" s="213">
        <v>0.48</v>
      </c>
      <c r="F15" s="213">
        <v>0.08</v>
      </c>
      <c r="G15" s="213">
        <v>0.06</v>
      </c>
      <c r="H15" s="213">
        <v>0.12</v>
      </c>
      <c r="I15" s="213">
        <v>0.2</v>
      </c>
      <c r="J15" s="213">
        <v>0.06</v>
      </c>
      <c r="K15" s="212">
        <f t="shared" si="1"/>
        <v>2.23864</v>
      </c>
      <c r="L15" s="211">
        <v>1200000.0</v>
      </c>
      <c r="M15" s="169">
        <f t="shared" si="2"/>
        <v>2686368</v>
      </c>
      <c r="N15" s="36" t="s">
        <v>1003</v>
      </c>
      <c r="O15" s="2"/>
      <c r="P15" s="2"/>
      <c r="Q15" s="2"/>
      <c r="R15" s="2"/>
      <c r="S15" s="2"/>
      <c r="T15" s="2"/>
      <c r="U15" s="2"/>
      <c r="V15" s="2"/>
      <c r="W15" s="2"/>
      <c r="X15" s="2"/>
      <c r="Y15" s="2"/>
      <c r="Z15" s="2"/>
    </row>
    <row r="16">
      <c r="A16" s="16" t="s">
        <v>976</v>
      </c>
      <c r="B16" s="212">
        <f>$D$8*(1+$E$8)*$F$8</f>
        <v>1.5729</v>
      </c>
      <c r="C16" s="213">
        <v>0.55</v>
      </c>
      <c r="D16" s="213">
        <v>0.35</v>
      </c>
      <c r="E16" s="213">
        <v>0.75</v>
      </c>
      <c r="F16" s="213">
        <v>0.1</v>
      </c>
      <c r="G16" s="213">
        <v>0.08</v>
      </c>
      <c r="H16" s="213">
        <v>0.15</v>
      </c>
      <c r="I16" s="213">
        <v>0.3</v>
      </c>
      <c r="J16" s="213">
        <v>0.09</v>
      </c>
      <c r="K16" s="212">
        <f t="shared" si="1"/>
        <v>3.9429</v>
      </c>
      <c r="L16" s="211">
        <v>850000.0</v>
      </c>
      <c r="M16" s="169">
        <f t="shared" si="2"/>
        <v>3351465</v>
      </c>
      <c r="N16" s="36" t="s">
        <v>1005</v>
      </c>
      <c r="O16" s="2"/>
      <c r="P16" s="2"/>
      <c r="Q16" s="2"/>
      <c r="R16" s="2"/>
      <c r="S16" s="2"/>
      <c r="T16" s="2"/>
      <c r="U16" s="2"/>
      <c r="V16" s="2"/>
      <c r="W16" s="2"/>
      <c r="X16" s="2"/>
      <c r="Y16" s="2"/>
      <c r="Z16" s="2"/>
    </row>
    <row r="17">
      <c r="A17" s="16" t="s">
        <v>979</v>
      </c>
      <c r="B17" s="212">
        <f>$D$9*(1+$E$9)*$F$9</f>
        <v>2.58336</v>
      </c>
      <c r="C17" s="213">
        <v>0.8</v>
      </c>
      <c r="D17" s="213">
        <v>0.45</v>
      </c>
      <c r="E17" s="213">
        <v>1.05</v>
      </c>
      <c r="F17" s="213">
        <v>0.14</v>
      </c>
      <c r="G17" s="213">
        <v>0.1</v>
      </c>
      <c r="H17" s="213">
        <v>0.22</v>
      </c>
      <c r="I17" s="213">
        <v>0.45</v>
      </c>
      <c r="J17" s="213">
        <v>0.13</v>
      </c>
      <c r="K17" s="212">
        <f t="shared" si="1"/>
        <v>5.92336</v>
      </c>
      <c r="L17" s="211">
        <v>520000.0</v>
      </c>
      <c r="M17" s="169">
        <f t="shared" si="2"/>
        <v>3080147.2</v>
      </c>
      <c r="N17" s="36" t="s">
        <v>1006</v>
      </c>
      <c r="O17" s="2"/>
      <c r="P17" s="2"/>
      <c r="Q17" s="2"/>
      <c r="R17" s="2"/>
      <c r="S17" s="2"/>
      <c r="T17" s="2"/>
      <c r="U17" s="2"/>
      <c r="V17" s="2"/>
      <c r="W17" s="2"/>
      <c r="X17" s="2"/>
      <c r="Y17" s="2"/>
      <c r="Z17" s="2"/>
    </row>
    <row r="18">
      <c r="A18" s="16" t="s">
        <v>982</v>
      </c>
      <c r="B18" s="212">
        <f>$D$10*(1+$E$10)*$F$10</f>
        <v>1.93344</v>
      </c>
      <c r="C18" s="213">
        <v>0.35</v>
      </c>
      <c r="D18" s="213">
        <v>0.35</v>
      </c>
      <c r="E18" s="213">
        <v>0.75</v>
      </c>
      <c r="F18" s="213">
        <v>0.12</v>
      </c>
      <c r="G18" s="213">
        <v>0.08</v>
      </c>
      <c r="H18" s="213">
        <v>0.18</v>
      </c>
      <c r="I18" s="213">
        <v>0.32</v>
      </c>
      <c r="J18" s="213">
        <v>0.1</v>
      </c>
      <c r="K18" s="212">
        <f t="shared" si="1"/>
        <v>4.18344</v>
      </c>
      <c r="L18" s="211">
        <v>650000.0</v>
      </c>
      <c r="M18" s="169">
        <f t="shared" si="2"/>
        <v>2719236</v>
      </c>
      <c r="N18" s="36" t="s">
        <v>1007</v>
      </c>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75" t="s">
        <v>1008</v>
      </c>
      <c r="B20" s="175" t="s">
        <v>1009</v>
      </c>
      <c r="C20" s="175" t="s">
        <v>1010</v>
      </c>
      <c r="D20" s="175" t="s">
        <v>594</v>
      </c>
      <c r="E20" s="2"/>
      <c r="F20" s="2"/>
      <c r="G20" s="2"/>
      <c r="H20" s="2"/>
      <c r="I20" s="2"/>
      <c r="J20" s="2"/>
      <c r="K20" s="2"/>
      <c r="L20" s="2"/>
      <c r="M20" s="2"/>
      <c r="N20" s="2"/>
      <c r="O20" s="2"/>
      <c r="P20" s="2"/>
      <c r="Q20" s="2"/>
      <c r="R20" s="2"/>
      <c r="S20" s="2"/>
      <c r="T20" s="2"/>
      <c r="U20" s="2"/>
      <c r="V20" s="2"/>
      <c r="W20" s="2"/>
      <c r="X20" s="2"/>
      <c r="Y20" s="2"/>
      <c r="Z20" s="2"/>
    </row>
    <row r="21" ht="15.75" customHeight="1">
      <c r="A21" s="22" t="s">
        <v>1011</v>
      </c>
      <c r="B21" s="22" t="s">
        <v>1012</v>
      </c>
      <c r="C21" s="36" t="s">
        <v>1013</v>
      </c>
      <c r="D21" s="16" t="s">
        <v>1014</v>
      </c>
      <c r="E21" s="2"/>
      <c r="F21" s="2"/>
      <c r="G21" s="2"/>
      <c r="H21" s="2"/>
      <c r="I21" s="2"/>
      <c r="J21" s="2"/>
      <c r="K21" s="2"/>
      <c r="L21" s="2"/>
      <c r="M21" s="2"/>
      <c r="N21" s="2"/>
      <c r="O21" s="2"/>
      <c r="P21" s="2"/>
      <c r="Q21" s="2"/>
      <c r="R21" s="2"/>
      <c r="S21" s="2"/>
      <c r="T21" s="2"/>
      <c r="U21" s="2"/>
      <c r="V21" s="2"/>
      <c r="W21" s="2"/>
      <c r="X21" s="2"/>
      <c r="Y21" s="2"/>
      <c r="Z21" s="2"/>
    </row>
    <row r="22" ht="15.75" customHeight="1">
      <c r="A22" s="22" t="s">
        <v>1015</v>
      </c>
      <c r="B22" s="22" t="s">
        <v>1016</v>
      </c>
      <c r="C22" s="22" t="s">
        <v>1017</v>
      </c>
      <c r="D22" s="16" t="s">
        <v>1014</v>
      </c>
      <c r="E22" s="2"/>
      <c r="F22" s="2"/>
      <c r="G22" s="2"/>
      <c r="H22" s="2"/>
      <c r="I22" s="2"/>
      <c r="J22" s="2"/>
      <c r="K22" s="2"/>
      <c r="L22" s="2"/>
      <c r="M22" s="2"/>
      <c r="N22" s="2"/>
      <c r="O22" s="2"/>
      <c r="P22" s="2"/>
      <c r="Q22" s="2"/>
      <c r="R22" s="2"/>
      <c r="S22" s="2"/>
      <c r="T22" s="2"/>
      <c r="U22" s="2"/>
      <c r="V22" s="2"/>
      <c r="W22" s="2"/>
      <c r="X22" s="2"/>
      <c r="Y22" s="2"/>
      <c r="Z22" s="2"/>
    </row>
    <row r="23" ht="15.75" customHeight="1">
      <c r="A23" s="22" t="s">
        <v>1018</v>
      </c>
      <c r="B23" s="22" t="s">
        <v>1020</v>
      </c>
      <c r="C23" s="22" t="s">
        <v>1021</v>
      </c>
      <c r="D23" s="16" t="s">
        <v>1014</v>
      </c>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J4"/>
    <mergeCell ref="A12:N1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0.0"/>
    <col customWidth="1" min="3" max="3" width="15.0"/>
    <col customWidth="1" min="4" max="4" width="33.86"/>
    <col customWidth="1" min="5" max="6" width="18.0"/>
    <col customWidth="1" min="7" max="7" width="17.0"/>
    <col customWidth="1" min="8" max="8" width="16.0"/>
    <col customWidth="1" min="9" max="10" width="18.0"/>
    <col customWidth="1" min="11" max="11" width="12.0"/>
    <col customWidth="1" min="12" max="26" width="9.0"/>
  </cols>
  <sheetData>
    <row r="1">
      <c r="A1" s="217" t="s">
        <v>1078</v>
      </c>
      <c r="B1" s="4"/>
      <c r="C1" s="4"/>
      <c r="D1" s="4"/>
      <c r="E1" s="4"/>
      <c r="F1" s="4"/>
      <c r="G1" s="4"/>
      <c r="H1" s="4"/>
      <c r="I1" s="4"/>
      <c r="J1" s="4"/>
      <c r="K1" s="6"/>
      <c r="L1" s="218"/>
      <c r="M1" s="218"/>
      <c r="N1" s="218"/>
      <c r="O1" s="218"/>
      <c r="P1" s="218"/>
      <c r="Q1" s="218"/>
      <c r="R1" s="218"/>
      <c r="S1" s="218"/>
      <c r="T1" s="218"/>
      <c r="U1" s="218"/>
      <c r="V1" s="218"/>
      <c r="W1" s="218"/>
      <c r="X1" s="218"/>
      <c r="Y1" s="218"/>
      <c r="Z1" s="218"/>
    </row>
    <row r="2">
      <c r="A2" s="218" t="s">
        <v>1079</v>
      </c>
      <c r="L2" s="218"/>
      <c r="M2" s="218"/>
      <c r="N2" s="218"/>
      <c r="O2" s="218"/>
      <c r="P2" s="218"/>
      <c r="Q2" s="218"/>
      <c r="R2" s="218"/>
      <c r="S2" s="218"/>
      <c r="T2" s="218"/>
      <c r="U2" s="218"/>
      <c r="V2" s="218"/>
      <c r="W2" s="218"/>
      <c r="X2" s="218"/>
      <c r="Y2" s="218"/>
      <c r="Z2" s="218"/>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4">
      <c r="A4" s="219" t="s">
        <v>1080</v>
      </c>
      <c r="B4" s="39"/>
      <c r="C4" s="39"/>
      <c r="D4" s="39"/>
      <c r="E4" s="39"/>
      <c r="F4" s="39"/>
      <c r="G4" s="39"/>
      <c r="H4" s="39"/>
      <c r="I4" s="39"/>
      <c r="J4" s="39"/>
      <c r="K4" s="40"/>
      <c r="L4" s="218"/>
      <c r="M4" s="218"/>
      <c r="N4" s="218"/>
      <c r="O4" s="218"/>
      <c r="P4" s="218"/>
      <c r="Q4" s="218"/>
      <c r="R4" s="218"/>
      <c r="S4" s="218"/>
      <c r="T4" s="218"/>
      <c r="U4" s="218"/>
      <c r="V4" s="218"/>
      <c r="W4" s="218"/>
      <c r="X4" s="218"/>
      <c r="Y4" s="218"/>
      <c r="Z4" s="218"/>
    </row>
    <row r="5">
      <c r="A5" s="220" t="s">
        <v>958</v>
      </c>
      <c r="B5" s="220" t="s">
        <v>1081</v>
      </c>
      <c r="C5" s="220" t="s">
        <v>1082</v>
      </c>
      <c r="D5" s="220" t="s">
        <v>1083</v>
      </c>
      <c r="E5" s="220" t="s">
        <v>1084</v>
      </c>
      <c r="F5" s="220" t="s">
        <v>1085</v>
      </c>
      <c r="G5" s="220" t="s">
        <v>1086</v>
      </c>
      <c r="H5" s="220" t="s">
        <v>1087</v>
      </c>
      <c r="I5" s="220" t="s">
        <v>1088</v>
      </c>
      <c r="J5" s="220" t="s">
        <v>1089</v>
      </c>
      <c r="K5" s="220" t="s">
        <v>1090</v>
      </c>
      <c r="L5" s="218"/>
      <c r="M5" s="218"/>
      <c r="N5" s="218"/>
      <c r="O5" s="218"/>
      <c r="P5" s="218"/>
      <c r="Q5" s="218"/>
      <c r="R5" s="218"/>
      <c r="S5" s="218"/>
      <c r="T5" s="218"/>
      <c r="U5" s="218"/>
      <c r="V5" s="218"/>
      <c r="W5" s="218"/>
      <c r="X5" s="218"/>
      <c r="Y5" s="218"/>
      <c r="Z5" s="218"/>
    </row>
    <row r="6">
      <c r="A6" s="221" t="s">
        <v>968</v>
      </c>
      <c r="B6" s="222" t="s">
        <v>969</v>
      </c>
      <c r="C6" s="223">
        <f>COGS!K14</f>
        <v>1.9368</v>
      </c>
      <c r="D6" s="224">
        <v>0.18</v>
      </c>
      <c r="E6" s="225">
        <f t="shared" ref="E6:E10" si="1">C6/(1-D6)</f>
        <v>2.36195122</v>
      </c>
      <c r="F6" s="224">
        <v>0.015</v>
      </c>
      <c r="G6" s="225">
        <f t="shared" ref="G6:G10" si="2">E6*(1+F6)</f>
        <v>2.397380488</v>
      </c>
      <c r="H6" s="226">
        <v>1800000.0</v>
      </c>
      <c r="I6" s="225">
        <f t="shared" ref="I6:I10" si="3">G6*H6</f>
        <v>4315284.878</v>
      </c>
      <c r="J6" s="225">
        <f t="shared" ref="J6:J10" si="4">(G6-C6)*H6</f>
        <v>829044.878</v>
      </c>
      <c r="K6" s="227">
        <f t="shared" ref="K6:K10" si="5">(G6-C6)/G6</f>
        <v>0.1921182266</v>
      </c>
      <c r="L6" s="218"/>
      <c r="M6" s="218"/>
      <c r="N6" s="218"/>
      <c r="O6" s="218"/>
      <c r="P6" s="218"/>
      <c r="Q6" s="218"/>
      <c r="R6" s="218"/>
      <c r="S6" s="218"/>
      <c r="T6" s="218"/>
      <c r="U6" s="218"/>
      <c r="V6" s="218"/>
      <c r="W6" s="218"/>
      <c r="X6" s="218"/>
      <c r="Y6" s="218"/>
      <c r="Z6" s="218"/>
    </row>
    <row r="7">
      <c r="A7" s="221" t="s">
        <v>972</v>
      </c>
      <c r="B7" s="222" t="s">
        <v>973</v>
      </c>
      <c r="C7" s="223">
        <f>COGS!K15</f>
        <v>2.23864</v>
      </c>
      <c r="D7" s="224">
        <v>0.18</v>
      </c>
      <c r="E7" s="225">
        <f t="shared" si="1"/>
        <v>2.73004878</v>
      </c>
      <c r="F7" s="224">
        <v>0.015</v>
      </c>
      <c r="G7" s="225">
        <f t="shared" si="2"/>
        <v>2.770999512</v>
      </c>
      <c r="H7" s="226">
        <v>1200000.0</v>
      </c>
      <c r="I7" s="225">
        <f t="shared" si="3"/>
        <v>3325199.415</v>
      </c>
      <c r="J7" s="225">
        <f t="shared" si="4"/>
        <v>638831.4146</v>
      </c>
      <c r="K7" s="227">
        <f t="shared" si="5"/>
        <v>0.1921182266</v>
      </c>
      <c r="L7" s="218"/>
      <c r="M7" s="218"/>
      <c r="N7" s="218"/>
      <c r="O7" s="218"/>
      <c r="P7" s="218"/>
      <c r="Q7" s="218"/>
      <c r="R7" s="218"/>
      <c r="S7" s="218"/>
      <c r="T7" s="218"/>
      <c r="U7" s="218"/>
      <c r="V7" s="218"/>
      <c r="W7" s="218"/>
      <c r="X7" s="218"/>
      <c r="Y7" s="218"/>
      <c r="Z7" s="218"/>
    </row>
    <row r="8">
      <c r="A8" s="221" t="s">
        <v>976</v>
      </c>
      <c r="B8" s="222" t="s">
        <v>977</v>
      </c>
      <c r="C8" s="223">
        <f>COGS!K16</f>
        <v>3.9429</v>
      </c>
      <c r="D8" s="224">
        <v>0.2</v>
      </c>
      <c r="E8" s="225">
        <f t="shared" si="1"/>
        <v>4.928625</v>
      </c>
      <c r="F8" s="224">
        <v>0.02</v>
      </c>
      <c r="G8" s="225">
        <f t="shared" si="2"/>
        <v>5.0271975</v>
      </c>
      <c r="H8" s="226">
        <v>850000.0</v>
      </c>
      <c r="I8" s="225">
        <f t="shared" si="3"/>
        <v>4273117.875</v>
      </c>
      <c r="J8" s="225">
        <f t="shared" si="4"/>
        <v>921652.875</v>
      </c>
      <c r="K8" s="227">
        <f t="shared" si="5"/>
        <v>0.2156862745</v>
      </c>
      <c r="L8" s="218"/>
      <c r="M8" s="218"/>
      <c r="N8" s="218"/>
      <c r="O8" s="218"/>
      <c r="P8" s="218"/>
      <c r="Q8" s="218"/>
      <c r="R8" s="218"/>
      <c r="S8" s="218"/>
      <c r="T8" s="218"/>
      <c r="U8" s="218"/>
      <c r="V8" s="218"/>
      <c r="W8" s="218"/>
      <c r="X8" s="218"/>
      <c r="Y8" s="218"/>
      <c r="Z8" s="218"/>
    </row>
    <row r="9">
      <c r="A9" s="221" t="s">
        <v>979</v>
      </c>
      <c r="B9" s="222" t="s">
        <v>980</v>
      </c>
      <c r="C9" s="223">
        <f>COGS!K17</f>
        <v>5.92336</v>
      </c>
      <c r="D9" s="224">
        <v>0.2</v>
      </c>
      <c r="E9" s="225">
        <f t="shared" si="1"/>
        <v>7.4042</v>
      </c>
      <c r="F9" s="224">
        <v>0.025</v>
      </c>
      <c r="G9" s="225">
        <f t="shared" si="2"/>
        <v>7.589305</v>
      </c>
      <c r="H9" s="226">
        <v>520000.0</v>
      </c>
      <c r="I9" s="225">
        <f t="shared" si="3"/>
        <v>3946438.6</v>
      </c>
      <c r="J9" s="225">
        <f t="shared" si="4"/>
        <v>866291.4</v>
      </c>
      <c r="K9" s="227">
        <f t="shared" si="5"/>
        <v>0.2195121951</v>
      </c>
      <c r="L9" s="218"/>
      <c r="M9" s="218"/>
      <c r="N9" s="218"/>
      <c r="O9" s="218"/>
      <c r="P9" s="218"/>
      <c r="Q9" s="218"/>
      <c r="R9" s="218"/>
      <c r="S9" s="218"/>
      <c r="T9" s="218"/>
      <c r="U9" s="218"/>
      <c r="V9" s="218"/>
      <c r="W9" s="218"/>
      <c r="X9" s="218"/>
      <c r="Y9" s="218"/>
      <c r="Z9" s="218"/>
    </row>
    <row r="10">
      <c r="A10" s="221" t="s">
        <v>982</v>
      </c>
      <c r="B10" s="222" t="s">
        <v>983</v>
      </c>
      <c r="C10" s="223">
        <f>COGS!K18</f>
        <v>4.18344</v>
      </c>
      <c r="D10" s="224">
        <v>0.19</v>
      </c>
      <c r="E10" s="225">
        <f t="shared" si="1"/>
        <v>5.164740741</v>
      </c>
      <c r="F10" s="224">
        <v>0.02</v>
      </c>
      <c r="G10" s="225">
        <f t="shared" si="2"/>
        <v>5.268035556</v>
      </c>
      <c r="H10" s="226">
        <v>650000.0</v>
      </c>
      <c r="I10" s="225">
        <f t="shared" si="3"/>
        <v>3424223.111</v>
      </c>
      <c r="J10" s="225">
        <f t="shared" si="4"/>
        <v>704987.1111</v>
      </c>
      <c r="K10" s="227">
        <f t="shared" si="5"/>
        <v>0.2058823529</v>
      </c>
      <c r="L10" s="218"/>
      <c r="M10" s="218"/>
      <c r="N10" s="218"/>
      <c r="O10" s="218"/>
      <c r="P10" s="218"/>
      <c r="Q10" s="218"/>
      <c r="R10" s="218"/>
      <c r="S10" s="218"/>
      <c r="T10" s="218"/>
      <c r="U10" s="218"/>
      <c r="V10" s="218"/>
      <c r="W10" s="218"/>
      <c r="X10" s="218"/>
      <c r="Y10" s="218"/>
      <c r="Z10" s="218"/>
    </row>
    <row r="11">
      <c r="A11" s="218"/>
      <c r="B11" s="218"/>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8"/>
    </row>
    <row r="12">
      <c r="A12" s="220" t="s">
        <v>1091</v>
      </c>
      <c r="B12" s="220" t="s">
        <v>1092</v>
      </c>
      <c r="C12" s="220" t="s">
        <v>123</v>
      </c>
      <c r="D12" s="220" t="s">
        <v>1009</v>
      </c>
      <c r="E12" s="220" t="s">
        <v>1093</v>
      </c>
      <c r="F12" s="220" t="s">
        <v>1094</v>
      </c>
      <c r="G12" s="218"/>
      <c r="H12" s="218"/>
      <c r="I12" s="218"/>
      <c r="J12" s="218"/>
      <c r="K12" s="218"/>
      <c r="L12" s="218"/>
      <c r="M12" s="218"/>
      <c r="N12" s="218"/>
      <c r="O12" s="218"/>
      <c r="P12" s="218"/>
      <c r="Q12" s="218"/>
      <c r="R12" s="218"/>
      <c r="S12" s="218"/>
      <c r="T12" s="218"/>
      <c r="U12" s="218"/>
      <c r="V12" s="218"/>
      <c r="W12" s="218"/>
      <c r="X12" s="218"/>
      <c r="Y12" s="218"/>
      <c r="Z12" s="218"/>
    </row>
    <row r="13">
      <c r="A13" s="228" t="s">
        <v>1095</v>
      </c>
      <c r="B13" s="222">
        <f>SUM(I6:I10)</f>
        <v>19284263.88</v>
      </c>
      <c r="C13" s="221" t="s">
        <v>922</v>
      </c>
      <c r="D13" s="222" t="s">
        <v>1096</v>
      </c>
      <c r="E13" s="228" t="s">
        <v>1097</v>
      </c>
      <c r="F13" s="221" t="s">
        <v>1098</v>
      </c>
      <c r="G13" s="218"/>
      <c r="H13" s="218"/>
      <c r="I13" s="218"/>
      <c r="J13" s="218"/>
      <c r="K13" s="218"/>
      <c r="L13" s="218"/>
      <c r="M13" s="218"/>
      <c r="N13" s="218"/>
      <c r="O13" s="218"/>
      <c r="P13" s="218"/>
      <c r="Q13" s="218"/>
      <c r="R13" s="218"/>
      <c r="S13" s="218"/>
      <c r="T13" s="218"/>
      <c r="U13" s="218"/>
      <c r="V13" s="218"/>
      <c r="W13" s="218"/>
      <c r="X13" s="218"/>
      <c r="Y13" s="218"/>
      <c r="Z13" s="218"/>
    </row>
    <row r="14">
      <c r="A14" s="228" t="s">
        <v>1099</v>
      </c>
      <c r="B14" s="222">
        <f>SUM(J6:J10)</f>
        <v>3960807.679</v>
      </c>
      <c r="C14" s="221" t="s">
        <v>922</v>
      </c>
      <c r="D14" s="222" t="s">
        <v>1100</v>
      </c>
      <c r="E14" s="228" t="s">
        <v>1101</v>
      </c>
      <c r="F14" s="221" t="s">
        <v>1098</v>
      </c>
      <c r="G14" s="218"/>
      <c r="H14" s="218"/>
      <c r="I14" s="218"/>
      <c r="J14" s="218"/>
      <c r="K14" s="218"/>
      <c r="L14" s="218"/>
      <c r="M14" s="218"/>
      <c r="N14" s="218"/>
      <c r="O14" s="218"/>
      <c r="P14" s="218"/>
      <c r="Q14" s="218"/>
      <c r="R14" s="218"/>
      <c r="S14" s="218"/>
      <c r="T14" s="218"/>
      <c r="U14" s="218"/>
      <c r="V14" s="218"/>
      <c r="W14" s="218"/>
      <c r="X14" s="218"/>
      <c r="Y14" s="218"/>
      <c r="Z14" s="218"/>
    </row>
    <row r="15">
      <c r="A15" s="228" t="s">
        <v>1103</v>
      </c>
      <c r="B15" s="231">
        <f>(B14/B13)</f>
        <v>0.2053906596</v>
      </c>
      <c r="C15" s="221" t="s">
        <v>665</v>
      </c>
      <c r="D15" s="222" t="s">
        <v>1105</v>
      </c>
      <c r="E15" s="228" t="s">
        <v>1106</v>
      </c>
      <c r="F15" s="221" t="s">
        <v>1098</v>
      </c>
      <c r="G15" s="218"/>
      <c r="H15" s="218"/>
      <c r="I15" s="218"/>
      <c r="J15" s="218"/>
      <c r="K15" s="218"/>
      <c r="L15" s="218"/>
      <c r="M15" s="218"/>
      <c r="N15" s="218"/>
      <c r="O15" s="218"/>
      <c r="P15" s="218"/>
      <c r="Q15" s="218"/>
      <c r="R15" s="218"/>
      <c r="S15" s="218"/>
      <c r="T15" s="218"/>
      <c r="U15" s="218"/>
      <c r="V15" s="218"/>
      <c r="W15" s="218"/>
      <c r="X15" s="218"/>
      <c r="Y15" s="218"/>
      <c r="Z15" s="218"/>
    </row>
    <row r="16">
      <c r="A16" s="218"/>
      <c r="B16" s="218"/>
      <c r="C16" s="218"/>
      <c r="D16" s="218"/>
      <c r="E16" s="218"/>
      <c r="F16" s="218"/>
      <c r="G16" s="218"/>
      <c r="H16" s="218"/>
      <c r="I16" s="218"/>
      <c r="J16" s="218"/>
      <c r="K16" s="218"/>
      <c r="L16" s="218"/>
      <c r="M16" s="218"/>
      <c r="N16" s="218"/>
      <c r="O16" s="218"/>
      <c r="P16" s="218"/>
      <c r="Q16" s="218"/>
      <c r="R16" s="218"/>
      <c r="S16" s="218"/>
      <c r="T16" s="218"/>
      <c r="U16" s="218"/>
      <c r="V16" s="218"/>
      <c r="W16" s="218"/>
      <c r="X16" s="218"/>
      <c r="Y16" s="218"/>
      <c r="Z16" s="218"/>
    </row>
    <row r="17">
      <c r="A17" s="220" t="s">
        <v>1107</v>
      </c>
      <c r="B17" s="220" t="s">
        <v>122</v>
      </c>
      <c r="C17" s="220" t="s">
        <v>123</v>
      </c>
      <c r="D17" s="233" t="s">
        <v>1108</v>
      </c>
      <c r="E17" s="39"/>
      <c r="F17" s="39"/>
      <c r="G17" s="39"/>
      <c r="H17" s="39"/>
      <c r="I17" s="40"/>
      <c r="J17" s="218"/>
      <c r="K17" s="218"/>
      <c r="L17" s="218"/>
      <c r="M17" s="218"/>
      <c r="N17" s="218"/>
      <c r="O17" s="218"/>
      <c r="P17" s="218"/>
      <c r="Q17" s="218"/>
      <c r="R17" s="218"/>
      <c r="S17" s="218"/>
      <c r="T17" s="218"/>
      <c r="U17" s="218"/>
      <c r="V17" s="218"/>
      <c r="W17" s="218"/>
      <c r="X17" s="218"/>
      <c r="Y17" s="218"/>
      <c r="Z17" s="218"/>
    </row>
    <row r="18">
      <c r="A18" s="221" t="s">
        <v>1109</v>
      </c>
      <c r="B18" s="221" t="s">
        <v>1110</v>
      </c>
      <c r="C18" s="221" t="s">
        <v>60</v>
      </c>
      <c r="D18" s="234" t="s">
        <v>1111</v>
      </c>
      <c r="E18" s="39"/>
      <c r="F18" s="39"/>
      <c r="G18" s="39"/>
      <c r="H18" s="39"/>
      <c r="I18" s="40"/>
      <c r="J18" s="218"/>
      <c r="K18" s="218"/>
      <c r="L18" s="218"/>
      <c r="M18" s="218"/>
      <c r="N18" s="218"/>
      <c r="O18" s="218"/>
      <c r="P18" s="218"/>
      <c r="Q18" s="218"/>
      <c r="R18" s="218"/>
      <c r="S18" s="218"/>
      <c r="T18" s="218"/>
      <c r="U18" s="218"/>
      <c r="V18" s="218"/>
      <c r="W18" s="218"/>
      <c r="X18" s="218"/>
      <c r="Y18" s="218"/>
      <c r="Z18" s="218"/>
    </row>
    <row r="19">
      <c r="A19" s="221" t="s">
        <v>1112</v>
      </c>
      <c r="B19" s="221" t="s">
        <v>674</v>
      </c>
      <c r="C19" s="221" t="s">
        <v>60</v>
      </c>
      <c r="D19" s="234" t="s">
        <v>1113</v>
      </c>
      <c r="E19" s="39"/>
      <c r="F19" s="39"/>
      <c r="G19" s="39"/>
      <c r="H19" s="39"/>
      <c r="I19" s="40"/>
      <c r="J19" s="218"/>
      <c r="K19" s="218"/>
      <c r="L19" s="218"/>
      <c r="M19" s="218"/>
      <c r="N19" s="218"/>
      <c r="O19" s="218"/>
      <c r="P19" s="218"/>
      <c r="Q19" s="218"/>
      <c r="R19" s="218"/>
      <c r="S19" s="218"/>
      <c r="T19" s="218"/>
      <c r="U19" s="218"/>
      <c r="V19" s="218"/>
      <c r="W19" s="218"/>
      <c r="X19" s="218"/>
      <c r="Y19" s="218"/>
      <c r="Z19" s="218"/>
    </row>
    <row r="20">
      <c r="A20" s="218"/>
      <c r="B20" s="218"/>
      <c r="C20" s="218"/>
      <c r="D20" s="218"/>
      <c r="E20" s="218"/>
      <c r="F20" s="218"/>
      <c r="G20" s="218"/>
      <c r="H20" s="218"/>
      <c r="I20" s="218"/>
      <c r="J20" s="218"/>
      <c r="K20" s="218"/>
      <c r="L20" s="218"/>
      <c r="M20" s="218"/>
      <c r="N20" s="218"/>
      <c r="O20" s="218"/>
      <c r="P20" s="218"/>
      <c r="Q20" s="218"/>
      <c r="R20" s="218"/>
      <c r="S20" s="218"/>
      <c r="T20" s="218"/>
      <c r="U20" s="218"/>
      <c r="V20" s="218"/>
      <c r="W20" s="218"/>
      <c r="X20" s="218"/>
      <c r="Y20" s="218"/>
      <c r="Z20" s="218"/>
    </row>
    <row r="21" ht="15.75" customHeight="1">
      <c r="A21" s="218"/>
      <c r="B21" s="218"/>
      <c r="C21" s="218"/>
      <c r="D21" s="218"/>
      <c r="E21" s="218"/>
      <c r="F21" s="218"/>
      <c r="G21" s="218"/>
      <c r="H21" s="218"/>
      <c r="I21" s="218"/>
      <c r="J21" s="218"/>
      <c r="K21" s="218"/>
      <c r="L21" s="218"/>
      <c r="M21" s="218"/>
      <c r="N21" s="218"/>
      <c r="O21" s="218"/>
      <c r="P21" s="218"/>
      <c r="Q21" s="218"/>
      <c r="R21" s="218"/>
      <c r="S21" s="218"/>
      <c r="T21" s="218"/>
      <c r="U21" s="218"/>
      <c r="V21" s="218"/>
      <c r="W21" s="218"/>
      <c r="X21" s="218"/>
      <c r="Y21" s="218"/>
      <c r="Z21" s="218"/>
    </row>
    <row r="22" ht="15.75" customHeight="1">
      <c r="A22" s="218"/>
      <c r="B22" s="218"/>
      <c r="C22" s="218"/>
      <c r="D22" s="218"/>
      <c r="E22" s="218"/>
      <c r="F22" s="218"/>
      <c r="G22" s="218"/>
      <c r="H22" s="218"/>
      <c r="I22" s="218"/>
      <c r="J22" s="218"/>
      <c r="K22" s="218"/>
      <c r="L22" s="218"/>
      <c r="M22" s="218"/>
      <c r="N22" s="218"/>
      <c r="O22" s="218"/>
      <c r="P22" s="218"/>
      <c r="Q22" s="218"/>
      <c r="R22" s="218"/>
      <c r="S22" s="218"/>
      <c r="T22" s="218"/>
      <c r="U22" s="218"/>
      <c r="V22" s="218"/>
      <c r="W22" s="218"/>
      <c r="X22" s="218"/>
      <c r="Y22" s="218"/>
      <c r="Z22" s="218"/>
    </row>
    <row r="23" ht="15.75" customHeight="1">
      <c r="A23" s="218"/>
      <c r="B23" s="218"/>
      <c r="C23" s="218"/>
      <c r="D23" s="218"/>
      <c r="E23" s="218"/>
      <c r="F23" s="218"/>
      <c r="G23" s="218"/>
      <c r="H23" s="218"/>
      <c r="I23" s="218"/>
      <c r="J23" s="218"/>
      <c r="K23" s="218"/>
      <c r="L23" s="218"/>
      <c r="M23" s="218"/>
      <c r="N23" s="218"/>
      <c r="O23" s="218"/>
      <c r="P23" s="218"/>
      <c r="Q23" s="218"/>
      <c r="R23" s="218"/>
      <c r="S23" s="218"/>
      <c r="T23" s="218"/>
      <c r="U23" s="218"/>
      <c r="V23" s="218"/>
      <c r="W23" s="218"/>
      <c r="X23" s="218"/>
      <c r="Y23" s="218"/>
      <c r="Z23" s="218"/>
    </row>
    <row r="24" ht="15.75" customHeight="1">
      <c r="A24" s="218"/>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ht="15.75" customHeight="1">
      <c r="A25" s="218"/>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ht="15.75" customHeight="1">
      <c r="A26" s="218"/>
      <c r="B26" s="218"/>
      <c r="C26" s="218"/>
      <c r="D26" s="218"/>
      <c r="E26" s="218"/>
      <c r="F26" s="218"/>
      <c r="G26" s="218"/>
      <c r="H26" s="218"/>
      <c r="I26" s="218"/>
      <c r="J26" s="218"/>
      <c r="K26" s="218"/>
      <c r="L26" s="218"/>
      <c r="M26" s="218"/>
      <c r="N26" s="218"/>
      <c r="O26" s="218"/>
      <c r="P26" s="218"/>
      <c r="Q26" s="218"/>
      <c r="R26" s="218"/>
      <c r="S26" s="218"/>
      <c r="T26" s="218"/>
      <c r="U26" s="218"/>
      <c r="V26" s="218"/>
      <c r="W26" s="218"/>
      <c r="X26" s="218"/>
      <c r="Y26" s="218"/>
      <c r="Z26" s="218"/>
    </row>
    <row r="27" ht="15.75" customHeight="1">
      <c r="A27" s="218"/>
      <c r="B27" s="218"/>
      <c r="C27" s="218"/>
      <c r="D27" s="218"/>
      <c r="E27" s="218"/>
      <c r="F27" s="218"/>
      <c r="G27" s="218"/>
      <c r="H27" s="218"/>
      <c r="I27" s="218"/>
      <c r="J27" s="218"/>
      <c r="K27" s="218"/>
      <c r="L27" s="218"/>
      <c r="M27" s="218"/>
      <c r="N27" s="218"/>
      <c r="O27" s="218"/>
      <c r="P27" s="218"/>
      <c r="Q27" s="218"/>
      <c r="R27" s="218"/>
      <c r="S27" s="218"/>
      <c r="T27" s="218"/>
      <c r="U27" s="218"/>
      <c r="V27" s="218"/>
      <c r="W27" s="218"/>
      <c r="X27" s="218"/>
      <c r="Y27" s="218"/>
      <c r="Z27" s="218"/>
    </row>
    <row r="28" ht="15.75" customHeight="1">
      <c r="A28" s="218"/>
      <c r="B28" s="218"/>
      <c r="C28" s="218"/>
      <c r="D28" s="218"/>
      <c r="E28" s="218"/>
      <c r="F28" s="218"/>
      <c r="G28" s="218"/>
      <c r="H28" s="218"/>
      <c r="I28" s="218"/>
      <c r="J28" s="218"/>
      <c r="K28" s="218"/>
      <c r="L28" s="218"/>
      <c r="M28" s="218"/>
      <c r="N28" s="218"/>
      <c r="O28" s="218"/>
      <c r="P28" s="218"/>
      <c r="Q28" s="218"/>
      <c r="R28" s="218"/>
      <c r="S28" s="218"/>
      <c r="T28" s="218"/>
      <c r="U28" s="218"/>
      <c r="V28" s="218"/>
      <c r="W28" s="218"/>
      <c r="X28" s="218"/>
      <c r="Y28" s="218"/>
      <c r="Z28" s="218"/>
    </row>
    <row r="29" ht="15.75" customHeight="1">
      <c r="A29" s="218"/>
      <c r="B29" s="218"/>
      <c r="C29" s="218"/>
      <c r="D29" s="218"/>
      <c r="E29" s="218"/>
      <c r="F29" s="218"/>
      <c r="G29" s="218"/>
      <c r="H29" s="218"/>
      <c r="I29" s="218"/>
      <c r="J29" s="218"/>
      <c r="K29" s="218"/>
      <c r="L29" s="218"/>
      <c r="M29" s="218"/>
      <c r="N29" s="218"/>
      <c r="O29" s="218"/>
      <c r="P29" s="218"/>
      <c r="Q29" s="218"/>
      <c r="R29" s="218"/>
      <c r="S29" s="218"/>
      <c r="T29" s="218"/>
      <c r="U29" s="218"/>
      <c r="V29" s="218"/>
      <c r="W29" s="218"/>
      <c r="X29" s="218"/>
      <c r="Y29" s="218"/>
      <c r="Z29" s="218"/>
    </row>
    <row r="30" ht="15.75" customHeight="1">
      <c r="A30" s="218"/>
      <c r="B30" s="218"/>
      <c r="C30" s="218"/>
      <c r="D30" s="218"/>
      <c r="E30" s="218"/>
      <c r="F30" s="218"/>
      <c r="G30" s="218"/>
      <c r="H30" s="218"/>
      <c r="I30" s="218"/>
      <c r="J30" s="218"/>
      <c r="K30" s="218"/>
      <c r="L30" s="218"/>
      <c r="M30" s="218"/>
      <c r="N30" s="218"/>
      <c r="O30" s="218"/>
      <c r="P30" s="218"/>
      <c r="Q30" s="218"/>
      <c r="R30" s="218"/>
      <c r="S30" s="218"/>
      <c r="T30" s="218"/>
      <c r="U30" s="218"/>
      <c r="V30" s="218"/>
      <c r="W30" s="218"/>
      <c r="X30" s="218"/>
      <c r="Y30" s="218"/>
      <c r="Z30" s="218"/>
    </row>
    <row r="31" ht="15.75" customHeight="1">
      <c r="A31" s="218"/>
      <c r="B31" s="218"/>
      <c r="C31" s="218"/>
      <c r="D31" s="218"/>
      <c r="E31" s="218"/>
      <c r="F31" s="218"/>
      <c r="G31" s="218"/>
      <c r="H31" s="218"/>
      <c r="I31" s="218"/>
      <c r="J31" s="218"/>
      <c r="K31" s="218"/>
      <c r="L31" s="218"/>
      <c r="M31" s="218"/>
      <c r="N31" s="218"/>
      <c r="O31" s="218"/>
      <c r="P31" s="218"/>
      <c r="Q31" s="218"/>
      <c r="R31" s="218"/>
      <c r="S31" s="218"/>
      <c r="T31" s="218"/>
      <c r="U31" s="218"/>
      <c r="V31" s="218"/>
      <c r="W31" s="218"/>
      <c r="X31" s="218"/>
      <c r="Y31" s="218"/>
      <c r="Z31" s="218"/>
    </row>
    <row r="32" ht="15.75" customHeight="1">
      <c r="A32" s="218"/>
      <c r="B32" s="218"/>
      <c r="C32" s="218"/>
      <c r="D32" s="218"/>
      <c r="E32" s="218"/>
      <c r="F32" s="218"/>
      <c r="G32" s="218"/>
      <c r="H32" s="218"/>
      <c r="I32" s="218"/>
      <c r="J32" s="218"/>
      <c r="K32" s="218"/>
      <c r="L32" s="218"/>
      <c r="M32" s="218"/>
      <c r="N32" s="218"/>
      <c r="O32" s="218"/>
      <c r="P32" s="218"/>
      <c r="Q32" s="218"/>
      <c r="R32" s="218"/>
      <c r="S32" s="218"/>
      <c r="T32" s="218"/>
      <c r="U32" s="218"/>
      <c r="V32" s="218"/>
      <c r="W32" s="218"/>
      <c r="X32" s="218"/>
      <c r="Y32" s="218"/>
      <c r="Z32" s="218"/>
    </row>
    <row r="33" ht="15.75" customHeight="1">
      <c r="A33" s="218"/>
      <c r="B33" s="218"/>
      <c r="C33" s="218"/>
      <c r="D33" s="218"/>
      <c r="E33" s="218"/>
      <c r="F33" s="218"/>
      <c r="G33" s="218"/>
      <c r="H33" s="218"/>
      <c r="I33" s="218"/>
      <c r="J33" s="218"/>
      <c r="K33" s="218"/>
      <c r="L33" s="218"/>
      <c r="M33" s="218"/>
      <c r="N33" s="218"/>
      <c r="O33" s="218"/>
      <c r="P33" s="218"/>
      <c r="Q33" s="218"/>
      <c r="R33" s="218"/>
      <c r="S33" s="218"/>
      <c r="T33" s="218"/>
      <c r="U33" s="218"/>
      <c r="V33" s="218"/>
      <c r="W33" s="218"/>
      <c r="X33" s="218"/>
      <c r="Y33" s="218"/>
      <c r="Z33" s="218"/>
    </row>
    <row r="34" ht="15.75" customHeight="1">
      <c r="A34" s="218"/>
      <c r="B34" s="218"/>
      <c r="C34" s="218"/>
      <c r="D34" s="218"/>
      <c r="E34" s="218"/>
      <c r="F34" s="218"/>
      <c r="G34" s="218"/>
      <c r="H34" s="218"/>
      <c r="I34" s="218"/>
      <c r="J34" s="218"/>
      <c r="K34" s="218"/>
      <c r="L34" s="218"/>
      <c r="M34" s="218"/>
      <c r="N34" s="218"/>
      <c r="O34" s="218"/>
      <c r="P34" s="218"/>
      <c r="Q34" s="218"/>
      <c r="R34" s="218"/>
      <c r="S34" s="218"/>
      <c r="T34" s="218"/>
      <c r="U34" s="218"/>
      <c r="V34" s="218"/>
      <c r="W34" s="218"/>
      <c r="X34" s="218"/>
      <c r="Y34" s="218"/>
      <c r="Z34" s="218"/>
    </row>
    <row r="35" ht="15.75" customHeight="1">
      <c r="A35" s="218"/>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ht="15.75" customHeight="1">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ht="15.75" customHeight="1">
      <c r="A37" s="218"/>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row>
    <row r="38" ht="15.75" customHeight="1">
      <c r="A38" s="218"/>
      <c r="B38" s="218"/>
      <c r="C38" s="218"/>
      <c r="D38" s="218"/>
      <c r="E38" s="218"/>
      <c r="F38" s="218"/>
      <c r="G38" s="218"/>
      <c r="H38" s="218"/>
      <c r="I38" s="218"/>
      <c r="J38" s="218"/>
      <c r="K38" s="218"/>
      <c r="L38" s="218"/>
      <c r="M38" s="218"/>
      <c r="N38" s="218"/>
      <c r="O38" s="218"/>
      <c r="P38" s="218"/>
      <c r="Q38" s="218"/>
      <c r="R38" s="218"/>
      <c r="S38" s="218"/>
      <c r="T38" s="218"/>
      <c r="U38" s="218"/>
      <c r="V38" s="218"/>
      <c r="W38" s="218"/>
      <c r="X38" s="218"/>
      <c r="Y38" s="218"/>
      <c r="Z38" s="218"/>
    </row>
    <row r="39" ht="15.75" customHeight="1">
      <c r="A39" s="218"/>
      <c r="B39" s="218"/>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row>
    <row r="40" ht="15.75" customHeight="1">
      <c r="A40" s="218"/>
      <c r="B40" s="218"/>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row>
    <row r="41" ht="15.75" customHeight="1">
      <c r="A41" s="218"/>
      <c r="B41" s="218"/>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row>
    <row r="42" ht="15.75" customHeight="1">
      <c r="A42" s="218"/>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row>
    <row r="43" ht="15.75" customHeight="1">
      <c r="A43" s="218"/>
      <c r="B43" s="218"/>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row>
    <row r="44" ht="15.75" customHeight="1">
      <c r="A44" s="218"/>
      <c r="B44" s="218"/>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row>
    <row r="45" ht="15.75" customHeight="1">
      <c r="A45" s="218"/>
      <c r="B45" s="218"/>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row>
    <row r="46" ht="15.75" customHeight="1">
      <c r="A46" s="218"/>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ht="15.75" customHeight="1">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ht="15.75" customHeight="1">
      <c r="A48" s="218"/>
      <c r="B48" s="218"/>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row>
    <row r="49" ht="15.75" customHeight="1">
      <c r="A49" s="218"/>
      <c r="B49" s="218"/>
      <c r="C49" s="218"/>
      <c r="D49" s="218"/>
      <c r="E49" s="218"/>
      <c r="F49" s="218"/>
      <c r="G49" s="218"/>
      <c r="H49" s="218"/>
      <c r="I49" s="218"/>
      <c r="J49" s="218"/>
      <c r="K49" s="218"/>
      <c r="L49" s="218"/>
      <c r="M49" s="218"/>
      <c r="N49" s="218"/>
      <c r="O49" s="218"/>
      <c r="P49" s="218"/>
      <c r="Q49" s="218"/>
      <c r="R49" s="218"/>
      <c r="S49" s="218"/>
      <c r="T49" s="218"/>
      <c r="U49" s="218"/>
      <c r="V49" s="218"/>
      <c r="W49" s="218"/>
      <c r="X49" s="218"/>
      <c r="Y49" s="218"/>
      <c r="Z49" s="218"/>
    </row>
    <row r="50" ht="15.75" customHeight="1">
      <c r="A50" s="218"/>
      <c r="B50" s="218"/>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row>
    <row r="51" ht="15.75" customHeight="1">
      <c r="A51" s="218"/>
      <c r="B51" s="218"/>
      <c r="C51" s="218"/>
      <c r="D51" s="218"/>
      <c r="E51" s="218"/>
      <c r="F51" s="218"/>
      <c r="G51" s="218"/>
      <c r="H51" s="218"/>
      <c r="I51" s="218"/>
      <c r="J51" s="218"/>
      <c r="K51" s="218"/>
      <c r="L51" s="218"/>
      <c r="M51" s="218"/>
      <c r="N51" s="218"/>
      <c r="O51" s="218"/>
      <c r="P51" s="218"/>
      <c r="Q51" s="218"/>
      <c r="R51" s="218"/>
      <c r="S51" s="218"/>
      <c r="T51" s="218"/>
      <c r="U51" s="218"/>
      <c r="V51" s="218"/>
      <c r="W51" s="218"/>
      <c r="X51" s="218"/>
      <c r="Y51" s="218"/>
      <c r="Z51" s="218"/>
    </row>
    <row r="52" ht="15.75" customHeight="1">
      <c r="A52" s="218"/>
      <c r="B52" s="218"/>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row>
    <row r="53" ht="15.75" customHeight="1">
      <c r="A53" s="218"/>
      <c r="B53" s="218"/>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row>
    <row r="54" ht="15.75" customHeight="1">
      <c r="A54" s="218"/>
      <c r="B54" s="218"/>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row>
    <row r="55" ht="15.75" customHeight="1">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row>
    <row r="56" ht="15.75" customHeight="1">
      <c r="A56" s="218"/>
      <c r="B56" s="218"/>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row>
    <row r="57" ht="15.75" customHeight="1">
      <c r="A57" s="218"/>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ht="15.75" customHeight="1">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ht="15.75" customHeight="1">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row>
    <row r="60" ht="15.75" customHeight="1">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row>
    <row r="61" ht="15.75" customHeight="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row>
    <row r="62" ht="15.75" customHeight="1">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row>
    <row r="63" ht="15.75" customHeight="1">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row>
    <row r="64" ht="15.75" customHeight="1">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row>
    <row r="65" ht="15.75" customHeight="1">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row>
    <row r="66" ht="15.75" customHeight="1">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row>
    <row r="67" ht="15.75" customHeight="1">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row>
    <row r="68" ht="15.75" customHeight="1">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row>
    <row r="69" ht="15.75" customHeight="1">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row>
    <row r="70" ht="15.75" customHeight="1">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row>
    <row r="71" ht="15.75" customHeight="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row>
    <row r="72" ht="15.75" customHeight="1">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row>
    <row r="73" ht="15.75" customHeight="1">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row>
    <row r="74" ht="15.75" customHeight="1">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row>
    <row r="75" ht="15.75" customHeight="1">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row>
    <row r="76" ht="15.75" customHeight="1">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row>
    <row r="77" ht="15.75" customHeight="1">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row>
    <row r="78" ht="15.75" customHeight="1">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row>
    <row r="79" ht="15.75" customHeight="1">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row>
    <row r="80" ht="15.75" customHeight="1">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row>
    <row r="81" ht="15.75" customHeight="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row>
    <row r="82" ht="15.75" customHeight="1">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row>
    <row r="83" ht="15.75" customHeight="1">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row>
    <row r="84" ht="15.75" customHeight="1">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row>
    <row r="85" ht="15.75" customHeight="1">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row>
    <row r="86" ht="15.75" customHeight="1">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row>
    <row r="87" ht="15.75" customHeight="1">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row>
    <row r="88" ht="15.75" customHeight="1">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row>
    <row r="89" ht="15.75" customHeight="1">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row>
    <row r="90" ht="15.75" customHeight="1">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row>
    <row r="91" ht="15.75" customHeight="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row>
    <row r="92" ht="15.75" customHeight="1">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row>
    <row r="93" ht="15.75" customHeight="1">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row>
    <row r="94" ht="15.75" customHeight="1">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row>
    <row r="95" ht="15.75" customHeight="1">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row>
    <row r="96" ht="15.75" customHeight="1">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row>
    <row r="97" ht="15.75" customHeight="1">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row>
    <row r="98" ht="15.75" customHeight="1">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row>
    <row r="99" ht="15.75" customHeight="1">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row>
    <row r="100" ht="15.75" customHeight="1">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ht="15.75" customHeight="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ht="15.75" customHeight="1">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ht="15.75" customHeight="1">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ht="15.75" customHeight="1">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ht="15.75" customHeight="1">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ht="15.75" customHeight="1">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ht="15.75" customHeight="1">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ht="15.75" customHeight="1">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ht="15.75" customHeight="1">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ht="15.75" customHeight="1">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ht="15.75" customHeight="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ht="15.75" customHeight="1">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ht="15.75" customHeight="1">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ht="15.75" customHeight="1">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ht="15.75" customHeight="1">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ht="15.75" customHeight="1">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ht="15.75" customHeight="1">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ht="15.75" customHeight="1">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ht="15.75" customHeight="1">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ht="15.75" customHeight="1">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ht="15.75" customHeight="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ht="15.75" customHeight="1">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ht="15.75" customHeight="1">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ht="15.75" customHeight="1">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ht="15.75" customHeight="1">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ht="15.75" customHeight="1">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ht="15.75" customHeight="1">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ht="15.75" customHeight="1">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ht="15.75" customHeight="1">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ht="15.75" customHeight="1">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ht="15.75" customHeight="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ht="15.75" customHeight="1">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ht="15.75" customHeight="1">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ht="15.75" customHeight="1">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ht="15.75" customHeight="1">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ht="15.75" customHeight="1">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ht="15.75" customHeight="1">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ht="15.75" customHeight="1">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ht="15.75" customHeight="1">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ht="15.75" customHeight="1">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ht="15.75" customHeight="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ht="15.75" customHeight="1">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ht="15.75" customHeight="1">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ht="15.75" customHeight="1">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ht="15.75" customHeight="1">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ht="15.75" customHeight="1">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ht="15.75" customHeight="1">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ht="15.75" customHeight="1">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ht="15.75" customHeight="1">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ht="15.75" customHeight="1">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ht="15.75" customHeight="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ht="15.75" customHeight="1">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ht="15.75" customHeight="1">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ht="15.75" customHeight="1">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ht="15.75" customHeight="1">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ht="15.75" customHeight="1">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ht="15.75" customHeight="1">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ht="15.75" customHeight="1">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ht="15.75" customHeight="1">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ht="15.75" customHeight="1">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ht="15.75" customHeight="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ht="15.75" customHeight="1">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ht="15.75" customHeight="1">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ht="15.75" customHeight="1">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ht="15.75" customHeight="1">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ht="15.75" customHeight="1">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ht="15.75" customHeight="1">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ht="15.75" customHeight="1">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ht="15.75" customHeight="1">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ht="15.75" customHeight="1">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ht="15.75" customHeight="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ht="15.75" customHeight="1">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ht="15.75" customHeight="1">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ht="15.75" customHeight="1">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ht="15.75" customHeight="1">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ht="15.75" customHeight="1">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ht="15.75" customHeight="1">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ht="15.75" customHeight="1">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ht="15.75" customHeight="1">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ht="15.75" customHeight="1">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ht="15.75" customHeight="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ht="15.75" customHeight="1">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ht="15.75" customHeight="1">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ht="15.75" customHeight="1">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ht="15.75" customHeight="1">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ht="15.75" customHeight="1">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ht="15.75" customHeight="1">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ht="15.75" customHeight="1">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ht="15.75" customHeight="1">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ht="15.75" customHeight="1">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ht="15.75" customHeight="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ht="15.75" customHeight="1">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ht="15.75" customHeight="1">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ht="15.75" customHeight="1">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ht="15.75" customHeight="1">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ht="15.75" customHeight="1">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ht="15.75" customHeight="1">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ht="15.75" customHeight="1">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ht="15.75" customHeight="1">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ht="15.75" customHeight="1">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ht="15.75" customHeight="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ht="15.75" customHeight="1">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ht="15.75" customHeight="1">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ht="15.75" customHeight="1">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ht="15.75" customHeight="1">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ht="15.75" customHeight="1">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ht="15.75" customHeight="1">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ht="15.75" customHeight="1">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ht="15.75" customHeight="1">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ht="15.75" customHeight="1">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ht="15.75" customHeight="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ht="15.75" customHeight="1">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ht="15.75" customHeight="1">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ht="15.75" customHeight="1">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ht="15.75" customHeight="1">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ht="15.75" customHeight="1">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ht="15.75" customHeight="1">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ht="15.75" customHeight="1">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ht="15.75" customHeight="1">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ht="15.75" customHeight="1">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K1"/>
    <mergeCell ref="A2:K2"/>
    <mergeCell ref="A4:K4"/>
    <mergeCell ref="D17:I17"/>
    <mergeCell ref="D18:I18"/>
    <mergeCell ref="D19:I19"/>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5.86"/>
    <col customWidth="1" min="3" max="22" width="9.0"/>
  </cols>
  <sheetData>
    <row r="1" ht="13.5" customHeight="1">
      <c r="A1" s="1" t="s">
        <v>36</v>
      </c>
      <c r="B1" s="1" t="s">
        <v>37</v>
      </c>
      <c r="C1" s="2"/>
      <c r="D1" s="2"/>
      <c r="E1" s="2"/>
      <c r="F1" s="2"/>
      <c r="G1" s="2"/>
      <c r="H1" s="2"/>
      <c r="I1" s="2"/>
      <c r="J1" s="2"/>
      <c r="K1" s="2"/>
      <c r="L1" s="2"/>
      <c r="M1" s="2"/>
      <c r="N1" s="2"/>
      <c r="O1" s="2"/>
      <c r="P1" s="2"/>
      <c r="Q1" s="2"/>
      <c r="R1" s="2"/>
      <c r="S1" s="2"/>
      <c r="T1" s="2"/>
      <c r="U1" s="2"/>
      <c r="V1" s="2"/>
      <c r="W1" s="2"/>
      <c r="X1" s="2"/>
      <c r="Y1" s="2"/>
      <c r="Z1" s="2"/>
    </row>
    <row r="2" ht="13.5" customHeight="1">
      <c r="A2" s="5" t="s">
        <v>38</v>
      </c>
      <c r="B2" s="5">
        <v>100.0</v>
      </c>
      <c r="C2" s="2"/>
      <c r="D2" s="2"/>
      <c r="E2" s="2"/>
      <c r="F2" s="2"/>
      <c r="G2" s="2"/>
      <c r="H2" s="2"/>
      <c r="I2" s="2"/>
      <c r="J2" s="2"/>
      <c r="K2" s="2"/>
      <c r="L2" s="2"/>
      <c r="M2" s="2"/>
      <c r="N2" s="2"/>
      <c r="O2" s="2"/>
      <c r="P2" s="2"/>
      <c r="Q2" s="2"/>
      <c r="R2" s="2"/>
      <c r="S2" s="2"/>
      <c r="T2" s="2"/>
      <c r="U2" s="2"/>
      <c r="V2" s="2"/>
      <c r="W2" s="2"/>
      <c r="X2" s="2"/>
      <c r="Y2" s="2"/>
      <c r="Z2" s="2"/>
    </row>
    <row r="3" ht="13.5" customHeight="1">
      <c r="A3" s="5" t="s">
        <v>39</v>
      </c>
      <c r="B3" s="5">
        <v>36.0</v>
      </c>
      <c r="C3" s="2"/>
      <c r="D3" s="2"/>
      <c r="E3" s="2"/>
      <c r="F3" s="2"/>
      <c r="G3" s="2"/>
      <c r="H3" s="2"/>
      <c r="I3" s="2"/>
      <c r="J3" s="2"/>
      <c r="K3" s="2"/>
      <c r="L3" s="2"/>
      <c r="M3" s="2"/>
      <c r="N3" s="2"/>
      <c r="O3" s="2"/>
      <c r="P3" s="2"/>
      <c r="Q3" s="2"/>
      <c r="R3" s="2"/>
      <c r="S3" s="2"/>
      <c r="T3" s="2"/>
      <c r="U3" s="2"/>
      <c r="V3" s="2"/>
      <c r="W3" s="2"/>
      <c r="X3" s="2"/>
      <c r="Y3" s="2"/>
      <c r="Z3" s="2"/>
    </row>
    <row r="4" ht="13.5" customHeight="1">
      <c r="A4" s="5" t="s">
        <v>40</v>
      </c>
      <c r="B4" s="5">
        <v>64.0</v>
      </c>
      <c r="C4" s="2"/>
      <c r="D4" s="2"/>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2" width="29.43"/>
    <col customWidth="1" min="3" max="3" width="23.14"/>
    <col customWidth="1" min="4" max="4" width="16.86"/>
    <col customWidth="1" min="5" max="5" width="20.86"/>
    <col customWidth="1" min="6" max="6" width="22.71"/>
    <col customWidth="1" min="7" max="7" width="23.43"/>
    <col customWidth="1" min="8" max="8" width="15.71"/>
    <col customWidth="1" min="9" max="10" width="20.0"/>
    <col customWidth="1" min="11" max="11" width="18.0"/>
    <col customWidth="1" min="12" max="14" width="14.0"/>
    <col customWidth="1" min="15" max="26" width="9.0"/>
  </cols>
  <sheetData>
    <row r="1" ht="30.0" customHeight="1">
      <c r="A1" s="229" t="s">
        <v>1102</v>
      </c>
      <c r="B1" s="4"/>
      <c r="C1" s="4"/>
      <c r="D1" s="4"/>
      <c r="E1" s="4"/>
      <c r="F1" s="4"/>
      <c r="G1" s="4"/>
      <c r="H1" s="4"/>
      <c r="I1" s="4"/>
      <c r="J1" s="4"/>
      <c r="K1" s="4"/>
      <c r="L1" s="4"/>
      <c r="M1" s="4"/>
      <c r="N1" s="6"/>
      <c r="O1" s="230"/>
      <c r="P1" s="230"/>
      <c r="Q1" s="230"/>
      <c r="R1" s="230"/>
      <c r="S1" s="230"/>
      <c r="T1" s="230"/>
      <c r="U1" s="230"/>
      <c r="V1" s="230"/>
      <c r="W1" s="230"/>
      <c r="X1" s="230"/>
      <c r="Y1" s="230"/>
      <c r="Z1" s="230"/>
    </row>
    <row r="2" ht="13.5" customHeight="1">
      <c r="A2" s="232" t="s">
        <v>1104</v>
      </c>
      <c r="O2" s="230"/>
      <c r="P2" s="230"/>
      <c r="Q2" s="230"/>
      <c r="R2" s="230"/>
      <c r="S2" s="230"/>
      <c r="T2" s="230"/>
      <c r="U2" s="230"/>
      <c r="V2" s="230"/>
      <c r="W2" s="230"/>
      <c r="X2" s="230"/>
      <c r="Y2" s="230"/>
      <c r="Z2" s="230"/>
    </row>
    <row r="3" ht="13.5" customHeight="1">
      <c r="A3" s="230"/>
      <c r="B3" s="230"/>
      <c r="C3" s="230"/>
      <c r="D3" s="230"/>
      <c r="E3" s="230"/>
      <c r="F3" s="230"/>
      <c r="G3" s="230"/>
      <c r="H3" s="230"/>
      <c r="I3" s="230"/>
      <c r="J3" s="230"/>
      <c r="K3" s="230"/>
      <c r="L3" s="230"/>
      <c r="M3" s="230"/>
      <c r="N3" s="230"/>
      <c r="O3" s="230"/>
      <c r="P3" s="230"/>
      <c r="Q3" s="230"/>
      <c r="R3" s="230"/>
      <c r="S3" s="230"/>
      <c r="T3" s="230"/>
      <c r="U3" s="230"/>
      <c r="V3" s="230"/>
      <c r="W3" s="230"/>
      <c r="X3" s="230"/>
      <c r="Y3" s="230"/>
      <c r="Z3" s="230"/>
    </row>
    <row r="4" ht="21.75" customHeight="1">
      <c r="A4" s="235" t="s">
        <v>1114</v>
      </c>
      <c r="B4" s="39"/>
      <c r="C4" s="39"/>
      <c r="D4" s="39"/>
      <c r="E4" s="39"/>
      <c r="F4" s="39"/>
      <c r="G4" s="39"/>
      <c r="H4" s="40"/>
      <c r="I4" s="236"/>
      <c r="J4" s="236"/>
      <c r="K4" s="236"/>
      <c r="L4" s="236"/>
      <c r="M4" s="236"/>
      <c r="N4" s="236"/>
      <c r="O4" s="230"/>
      <c r="P4" s="230"/>
      <c r="Q4" s="230"/>
      <c r="R4" s="230"/>
      <c r="S4" s="230"/>
      <c r="T4" s="230"/>
      <c r="U4" s="230"/>
      <c r="V4" s="230"/>
      <c r="W4" s="230"/>
      <c r="X4" s="230"/>
      <c r="Y4" s="230"/>
      <c r="Z4" s="230"/>
    </row>
    <row r="5" ht="13.5" customHeight="1">
      <c r="A5" s="237" t="s">
        <v>1115</v>
      </c>
      <c r="B5" s="237" t="s">
        <v>1116</v>
      </c>
      <c r="C5" s="237" t="s">
        <v>1112</v>
      </c>
      <c r="D5" s="237" t="s">
        <v>430</v>
      </c>
      <c r="E5" s="237" t="s">
        <v>1117</v>
      </c>
      <c r="F5" s="238" t="s">
        <v>1118</v>
      </c>
      <c r="G5" s="39"/>
      <c r="H5" s="40"/>
      <c r="I5" s="230"/>
      <c r="J5" s="230"/>
      <c r="K5" s="230"/>
      <c r="L5" s="230"/>
      <c r="M5" s="230"/>
      <c r="N5" s="230"/>
      <c r="O5" s="230"/>
      <c r="P5" s="230"/>
      <c r="Q5" s="230"/>
      <c r="R5" s="230"/>
      <c r="S5" s="230"/>
      <c r="T5" s="230"/>
      <c r="U5" s="230"/>
      <c r="V5" s="230"/>
      <c r="W5" s="230"/>
      <c r="X5" s="230"/>
      <c r="Y5" s="230"/>
      <c r="Z5" s="230"/>
    </row>
    <row r="6" ht="13.5" customHeight="1">
      <c r="A6" s="239" t="s">
        <v>1119</v>
      </c>
      <c r="B6" s="240">
        <v>45.0</v>
      </c>
      <c r="C6" s="241" t="s">
        <v>674</v>
      </c>
      <c r="D6" s="241" t="s">
        <v>1120</v>
      </c>
      <c r="E6" s="241" t="s">
        <v>662</v>
      </c>
      <c r="F6" s="242" t="s">
        <v>1121</v>
      </c>
      <c r="G6" s="39"/>
      <c r="H6" s="40"/>
      <c r="I6" s="230"/>
      <c r="J6" s="230"/>
      <c r="K6" s="230"/>
      <c r="L6" s="230"/>
      <c r="M6" s="230"/>
      <c r="N6" s="230"/>
      <c r="O6" s="230"/>
      <c r="P6" s="230"/>
      <c r="Q6" s="230"/>
      <c r="R6" s="230"/>
      <c r="S6" s="230"/>
      <c r="T6" s="230"/>
      <c r="U6" s="230"/>
      <c r="V6" s="230"/>
      <c r="W6" s="230"/>
      <c r="X6" s="230"/>
      <c r="Y6" s="230"/>
      <c r="Z6" s="230"/>
    </row>
    <row r="7" ht="13.5" customHeight="1">
      <c r="A7" s="239" t="s">
        <v>1122</v>
      </c>
      <c r="B7" s="240">
        <v>195.0</v>
      </c>
      <c r="C7" s="241" t="s">
        <v>674</v>
      </c>
      <c r="D7" s="241" t="s">
        <v>1123</v>
      </c>
      <c r="E7" s="241" t="s">
        <v>662</v>
      </c>
      <c r="F7" s="242" t="s">
        <v>1124</v>
      </c>
      <c r="G7" s="39"/>
      <c r="H7" s="40"/>
      <c r="I7" s="230"/>
      <c r="J7" s="230"/>
      <c r="K7" s="230"/>
      <c r="L7" s="230"/>
      <c r="M7" s="230"/>
      <c r="N7" s="230"/>
      <c r="O7" s="230"/>
      <c r="P7" s="230"/>
      <c r="Q7" s="230"/>
      <c r="R7" s="230"/>
      <c r="S7" s="230"/>
      <c r="T7" s="230"/>
      <c r="U7" s="230"/>
      <c r="V7" s="230"/>
      <c r="W7" s="230"/>
      <c r="X7" s="230"/>
      <c r="Y7" s="230"/>
      <c r="Z7" s="230"/>
    </row>
    <row r="8" ht="13.5" customHeight="1">
      <c r="A8" s="239" t="s">
        <v>1125</v>
      </c>
      <c r="B8" s="240">
        <v>196.0</v>
      </c>
      <c r="C8" s="241" t="s">
        <v>674</v>
      </c>
      <c r="D8" s="241" t="s">
        <v>1123</v>
      </c>
      <c r="E8" s="241" t="s">
        <v>662</v>
      </c>
      <c r="F8" s="242" t="s">
        <v>1126</v>
      </c>
      <c r="G8" s="39"/>
      <c r="H8" s="40"/>
      <c r="I8" s="230"/>
      <c r="J8" s="230"/>
      <c r="K8" s="230"/>
      <c r="L8" s="230"/>
      <c r="M8" s="230"/>
      <c r="N8" s="230"/>
      <c r="O8" s="230"/>
      <c r="P8" s="230"/>
      <c r="Q8" s="230"/>
      <c r="R8" s="230"/>
      <c r="S8" s="230"/>
      <c r="T8" s="230"/>
      <c r="U8" s="230"/>
      <c r="V8" s="230"/>
      <c r="W8" s="230"/>
      <c r="X8" s="230"/>
      <c r="Y8" s="230"/>
      <c r="Z8" s="230"/>
    </row>
    <row r="9" ht="13.5" customHeight="1">
      <c r="A9" s="239" t="s">
        <v>1127</v>
      </c>
      <c r="B9" s="240">
        <v>15.0</v>
      </c>
      <c r="C9" s="241" t="s">
        <v>674</v>
      </c>
      <c r="D9" s="241" t="s">
        <v>1128</v>
      </c>
      <c r="E9" s="241" t="s">
        <v>662</v>
      </c>
      <c r="F9" s="242" t="s">
        <v>1121</v>
      </c>
      <c r="G9" s="39"/>
      <c r="H9" s="40"/>
      <c r="I9" s="230"/>
      <c r="J9" s="230"/>
      <c r="K9" s="230"/>
      <c r="L9" s="230"/>
      <c r="M9" s="230"/>
      <c r="N9" s="230"/>
      <c r="O9" s="230"/>
      <c r="P9" s="230"/>
      <c r="Q9" s="230"/>
      <c r="R9" s="230"/>
      <c r="S9" s="230"/>
      <c r="T9" s="230"/>
      <c r="U9" s="230"/>
      <c r="V9" s="230"/>
      <c r="W9" s="230"/>
      <c r="X9" s="230"/>
      <c r="Y9" s="230"/>
      <c r="Z9" s="230"/>
    </row>
    <row r="10" ht="13.5" customHeight="1">
      <c r="A10" s="239" t="s">
        <v>1129</v>
      </c>
      <c r="B10" s="240">
        <v>34.0</v>
      </c>
      <c r="C10" s="241" t="s">
        <v>674</v>
      </c>
      <c r="D10" s="241" t="s">
        <v>1130</v>
      </c>
      <c r="E10" s="241" t="s">
        <v>662</v>
      </c>
      <c r="F10" s="242" t="s">
        <v>1121</v>
      </c>
      <c r="G10" s="39"/>
      <c r="H10" s="40"/>
      <c r="I10" s="230"/>
      <c r="J10" s="230"/>
      <c r="K10" s="230"/>
      <c r="L10" s="230"/>
      <c r="M10" s="230"/>
      <c r="N10" s="230"/>
      <c r="O10" s="230"/>
      <c r="P10" s="230"/>
      <c r="Q10" s="230"/>
      <c r="R10" s="230"/>
      <c r="S10" s="230"/>
      <c r="T10" s="230"/>
      <c r="U10" s="230"/>
      <c r="V10" s="230"/>
      <c r="W10" s="230"/>
      <c r="X10" s="230"/>
      <c r="Y10" s="230"/>
      <c r="Z10" s="230"/>
    </row>
    <row r="11" ht="13.5" customHeight="1">
      <c r="A11" s="239" t="s">
        <v>1131</v>
      </c>
      <c r="B11" s="240">
        <v>12.0</v>
      </c>
      <c r="C11" s="241" t="s">
        <v>674</v>
      </c>
      <c r="D11" s="241" t="s">
        <v>1128</v>
      </c>
      <c r="E11" s="241" t="s">
        <v>662</v>
      </c>
      <c r="F11" s="242" t="s">
        <v>1121</v>
      </c>
      <c r="G11" s="39"/>
      <c r="H11" s="40"/>
      <c r="I11" s="230"/>
      <c r="J11" s="230"/>
      <c r="K11" s="230"/>
      <c r="L11" s="230"/>
      <c r="M11" s="230"/>
      <c r="N11" s="230"/>
      <c r="O11" s="230"/>
      <c r="P11" s="230"/>
      <c r="Q11" s="230"/>
      <c r="R11" s="230"/>
      <c r="S11" s="230"/>
      <c r="T11" s="230"/>
      <c r="U11" s="230"/>
      <c r="V11" s="230"/>
      <c r="W11" s="230"/>
      <c r="X11" s="230"/>
      <c r="Y11" s="230"/>
      <c r="Z11" s="230"/>
    </row>
    <row r="12" ht="13.5" customHeight="1">
      <c r="A12" s="239" t="s">
        <v>1132</v>
      </c>
      <c r="B12" s="240">
        <v>25.0</v>
      </c>
      <c r="C12" s="241" t="s">
        <v>674</v>
      </c>
      <c r="D12" s="241" t="s">
        <v>1120</v>
      </c>
      <c r="E12" s="241" t="s">
        <v>662</v>
      </c>
      <c r="F12" s="242" t="s">
        <v>1121</v>
      </c>
      <c r="G12" s="39"/>
      <c r="H12" s="40"/>
      <c r="I12" s="230"/>
      <c r="J12" s="230"/>
      <c r="K12" s="230"/>
      <c r="L12" s="230"/>
      <c r="M12" s="230"/>
      <c r="N12" s="230"/>
      <c r="O12" s="230"/>
      <c r="P12" s="230"/>
      <c r="Q12" s="230"/>
      <c r="R12" s="230"/>
      <c r="S12" s="230"/>
      <c r="T12" s="230"/>
      <c r="U12" s="230"/>
      <c r="V12" s="230"/>
      <c r="W12" s="230"/>
      <c r="X12" s="230"/>
      <c r="Y12" s="230"/>
      <c r="Z12" s="230"/>
    </row>
    <row r="13" ht="13.5" customHeight="1">
      <c r="A13" s="243" t="s">
        <v>1133</v>
      </c>
      <c r="B13" s="243">
        <f>SUM(B6:B12)</f>
        <v>522</v>
      </c>
      <c r="C13" s="244" t="s">
        <v>674</v>
      </c>
      <c r="D13" s="244" t="s">
        <v>1123</v>
      </c>
      <c r="E13" s="244" t="s">
        <v>662</v>
      </c>
      <c r="F13" s="245" t="s">
        <v>1134</v>
      </c>
      <c r="G13" s="39"/>
      <c r="H13" s="40"/>
      <c r="I13" s="230"/>
      <c r="J13" s="230"/>
      <c r="K13" s="230"/>
      <c r="L13" s="230"/>
      <c r="M13" s="230"/>
      <c r="N13" s="230"/>
      <c r="O13" s="230"/>
      <c r="P13" s="230"/>
      <c r="Q13" s="230"/>
      <c r="R13" s="230"/>
      <c r="S13" s="230"/>
      <c r="T13" s="230"/>
      <c r="U13" s="230"/>
      <c r="V13" s="230"/>
      <c r="W13" s="230"/>
      <c r="X13" s="230"/>
      <c r="Y13" s="230"/>
      <c r="Z13" s="230"/>
    </row>
    <row r="14" ht="13.5" customHeight="1">
      <c r="A14" s="230"/>
      <c r="B14" s="230"/>
      <c r="C14" s="230"/>
      <c r="D14" s="230"/>
      <c r="E14" s="230"/>
      <c r="F14" s="230"/>
      <c r="G14" s="230"/>
      <c r="H14" s="230"/>
      <c r="I14" s="230"/>
      <c r="J14" s="230"/>
      <c r="K14" s="230"/>
      <c r="L14" s="230"/>
      <c r="M14" s="230"/>
      <c r="N14" s="230"/>
      <c r="O14" s="230"/>
      <c r="P14" s="230"/>
      <c r="Q14" s="230"/>
      <c r="R14" s="230"/>
      <c r="S14" s="230"/>
      <c r="T14" s="230"/>
      <c r="U14" s="230"/>
      <c r="V14" s="230"/>
      <c r="W14" s="230"/>
      <c r="X14" s="230"/>
      <c r="Y14" s="230"/>
      <c r="Z14" s="230"/>
    </row>
    <row r="15" ht="21.75" customHeight="1">
      <c r="A15" s="235" t="s">
        <v>1135</v>
      </c>
      <c r="B15" s="39"/>
      <c r="C15" s="39"/>
      <c r="D15" s="39"/>
      <c r="E15" s="39"/>
      <c r="F15" s="39"/>
      <c r="G15" s="39"/>
      <c r="H15" s="39"/>
      <c r="I15" s="39"/>
      <c r="J15" s="39"/>
      <c r="K15" s="40"/>
      <c r="L15" s="236"/>
      <c r="M15" s="236"/>
      <c r="N15" s="236"/>
      <c r="O15" s="230"/>
      <c r="P15" s="230"/>
      <c r="Q15" s="230"/>
      <c r="R15" s="230"/>
      <c r="S15" s="230"/>
      <c r="T15" s="230"/>
      <c r="U15" s="230"/>
      <c r="V15" s="230"/>
      <c r="W15" s="230"/>
      <c r="X15" s="230"/>
      <c r="Y15" s="230"/>
      <c r="Z15" s="230"/>
    </row>
    <row r="16" ht="13.5" customHeight="1">
      <c r="A16" s="237" t="s">
        <v>1136</v>
      </c>
      <c r="B16" s="237" t="s">
        <v>1137</v>
      </c>
      <c r="C16" s="237" t="s">
        <v>1138</v>
      </c>
      <c r="D16" s="237" t="s">
        <v>1139</v>
      </c>
      <c r="E16" s="237" t="s">
        <v>1140</v>
      </c>
      <c r="F16" s="237" t="s">
        <v>1141</v>
      </c>
      <c r="G16" s="237" t="s">
        <v>1142</v>
      </c>
      <c r="H16" s="237" t="s">
        <v>1143</v>
      </c>
      <c r="I16" s="237" t="s">
        <v>1144</v>
      </c>
      <c r="J16" s="238" t="s">
        <v>52</v>
      </c>
      <c r="K16" s="40"/>
      <c r="L16" s="230"/>
      <c r="M16" s="230"/>
      <c r="N16" s="230"/>
      <c r="O16" s="230"/>
      <c r="P16" s="230"/>
      <c r="Q16" s="230"/>
      <c r="R16" s="230"/>
      <c r="S16" s="230"/>
      <c r="T16" s="230"/>
      <c r="U16" s="230"/>
      <c r="V16" s="230"/>
      <c r="W16" s="230"/>
      <c r="X16" s="230"/>
      <c r="Y16" s="230"/>
      <c r="Z16" s="230"/>
    </row>
    <row r="17" ht="13.5" customHeight="1">
      <c r="A17" s="241" t="s">
        <v>1145</v>
      </c>
      <c r="B17" s="241" t="s">
        <v>1146</v>
      </c>
      <c r="C17" s="241" t="s">
        <v>1147</v>
      </c>
      <c r="D17" s="240">
        <v>320.0</v>
      </c>
      <c r="E17" s="240">
        <v>110.0</v>
      </c>
      <c r="F17" s="240">
        <v>85.0</v>
      </c>
      <c r="G17" s="240">
        <v>760.0</v>
      </c>
      <c r="H17" s="239">
        <f t="shared" ref="H17:H19" si="1">SUM(D17:G17)</f>
        <v>1275</v>
      </c>
      <c r="I17" s="241" t="s">
        <v>1148</v>
      </c>
      <c r="J17" s="239" t="s">
        <v>1149</v>
      </c>
      <c r="K17" s="246"/>
      <c r="L17" s="230"/>
      <c r="M17" s="230"/>
      <c r="N17" s="230"/>
      <c r="O17" s="230"/>
      <c r="P17" s="230"/>
      <c r="Q17" s="230"/>
      <c r="R17" s="230"/>
      <c r="S17" s="230"/>
      <c r="T17" s="230"/>
      <c r="U17" s="230"/>
      <c r="V17" s="230"/>
      <c r="W17" s="230"/>
      <c r="X17" s="230"/>
      <c r="Y17" s="230"/>
      <c r="Z17" s="230"/>
    </row>
    <row r="18" ht="13.5" customHeight="1">
      <c r="A18" s="241" t="s">
        <v>1150</v>
      </c>
      <c r="B18" s="241" t="s">
        <v>1151</v>
      </c>
      <c r="C18" s="241" t="s">
        <v>1152</v>
      </c>
      <c r="D18" s="240">
        <v>300.0</v>
      </c>
      <c r="E18" s="240">
        <v>100.0</v>
      </c>
      <c r="F18" s="240">
        <v>75.0</v>
      </c>
      <c r="G18" s="240">
        <v>460.0</v>
      </c>
      <c r="H18" s="239">
        <f t="shared" si="1"/>
        <v>935</v>
      </c>
      <c r="I18" s="241" t="s">
        <v>1153</v>
      </c>
      <c r="J18" s="239" t="s">
        <v>1149</v>
      </c>
      <c r="K18" s="246"/>
      <c r="L18" s="230"/>
      <c r="M18" s="230"/>
      <c r="N18" s="230"/>
      <c r="O18" s="230"/>
      <c r="P18" s="230"/>
      <c r="Q18" s="230"/>
      <c r="R18" s="230"/>
      <c r="S18" s="230"/>
      <c r="T18" s="230"/>
      <c r="U18" s="230"/>
      <c r="V18" s="230"/>
      <c r="W18" s="230"/>
      <c r="X18" s="230"/>
      <c r="Y18" s="230"/>
      <c r="Z18" s="230"/>
    </row>
    <row r="19" ht="13.5" customHeight="1">
      <c r="A19" s="241" t="s">
        <v>1154</v>
      </c>
      <c r="B19" s="241" t="s">
        <v>1155</v>
      </c>
      <c r="C19" s="241" t="s">
        <v>1156</v>
      </c>
      <c r="D19" s="240">
        <v>285.0</v>
      </c>
      <c r="E19" s="240">
        <v>95.0</v>
      </c>
      <c r="F19" s="240">
        <v>70.0</v>
      </c>
      <c r="G19" s="240">
        <v>620.0</v>
      </c>
      <c r="H19" s="239">
        <f t="shared" si="1"/>
        <v>1070</v>
      </c>
      <c r="I19" s="241" t="s">
        <v>1157</v>
      </c>
      <c r="J19" s="239" t="s">
        <v>1149</v>
      </c>
      <c r="K19" s="246"/>
      <c r="L19" s="230"/>
      <c r="M19" s="230"/>
      <c r="N19" s="230"/>
      <c r="O19" s="230"/>
      <c r="P19" s="230"/>
      <c r="Q19" s="230"/>
      <c r="R19" s="230"/>
      <c r="S19" s="230"/>
      <c r="T19" s="230"/>
      <c r="U19" s="230"/>
      <c r="V19" s="230"/>
      <c r="W19" s="230"/>
      <c r="X19" s="230"/>
      <c r="Y19" s="230"/>
      <c r="Z19" s="230"/>
    </row>
    <row r="20" ht="13.5" customHeight="1">
      <c r="A20" s="230"/>
      <c r="B20" s="230"/>
      <c r="C20" s="230"/>
      <c r="D20" s="230"/>
      <c r="E20" s="230"/>
      <c r="F20" s="230"/>
      <c r="G20" s="230"/>
      <c r="H20" s="230"/>
      <c r="I20" s="230"/>
      <c r="J20" s="230"/>
      <c r="K20" s="230"/>
      <c r="L20" s="230"/>
      <c r="M20" s="230"/>
      <c r="N20" s="230"/>
      <c r="O20" s="230"/>
      <c r="P20" s="230"/>
      <c r="Q20" s="230"/>
      <c r="R20" s="230"/>
      <c r="S20" s="230"/>
      <c r="T20" s="230"/>
      <c r="U20" s="230"/>
      <c r="V20" s="230"/>
      <c r="W20" s="230"/>
      <c r="X20" s="230"/>
      <c r="Y20" s="230"/>
      <c r="Z20" s="230"/>
    </row>
    <row r="21" ht="21.75" customHeight="1">
      <c r="A21" s="235" t="s">
        <v>1158</v>
      </c>
      <c r="B21" s="39"/>
      <c r="C21" s="39"/>
      <c r="D21" s="39"/>
      <c r="E21" s="39"/>
      <c r="F21" s="39"/>
      <c r="G21" s="40"/>
      <c r="H21" s="236"/>
      <c r="I21" s="236"/>
      <c r="J21" s="236"/>
      <c r="K21" s="236"/>
      <c r="L21" s="236"/>
      <c r="M21" s="236"/>
      <c r="N21" s="236"/>
      <c r="O21" s="230"/>
      <c r="P21" s="230"/>
      <c r="Q21" s="230"/>
      <c r="R21" s="230"/>
      <c r="S21" s="230"/>
      <c r="T21" s="230"/>
      <c r="U21" s="230"/>
      <c r="V21" s="230"/>
      <c r="W21" s="230"/>
      <c r="X21" s="230"/>
      <c r="Y21" s="230"/>
      <c r="Z21" s="230"/>
    </row>
    <row r="22" ht="13.5" customHeight="1">
      <c r="A22" s="237" t="s">
        <v>1159</v>
      </c>
      <c r="B22" s="237" t="s">
        <v>1160</v>
      </c>
      <c r="C22" s="237" t="s">
        <v>1161</v>
      </c>
      <c r="D22" s="237" t="s">
        <v>1162</v>
      </c>
      <c r="E22" s="237" t="s">
        <v>1163</v>
      </c>
      <c r="F22" s="238" t="s">
        <v>1164</v>
      </c>
      <c r="G22" s="40"/>
      <c r="H22" s="230"/>
      <c r="I22" s="230"/>
      <c r="J22" s="230"/>
      <c r="K22" s="230"/>
      <c r="L22" s="230"/>
      <c r="M22" s="230"/>
      <c r="N22" s="230"/>
      <c r="O22" s="230"/>
      <c r="P22" s="230"/>
      <c r="Q22" s="230"/>
      <c r="R22" s="230"/>
      <c r="S22" s="230"/>
      <c r="T22" s="230"/>
      <c r="U22" s="230"/>
      <c r="V22" s="230"/>
      <c r="W22" s="230"/>
      <c r="X22" s="230"/>
      <c r="Y22" s="230"/>
      <c r="Z22" s="230"/>
    </row>
    <row r="23" ht="13.5" customHeight="1">
      <c r="A23" s="241" t="s">
        <v>1165</v>
      </c>
      <c r="B23" s="241" t="s">
        <v>1166</v>
      </c>
      <c r="C23" s="240">
        <v>3200.0</v>
      </c>
      <c r="D23" s="240">
        <v>3800.0</v>
      </c>
      <c r="E23" s="240">
        <v>4100.0</v>
      </c>
      <c r="F23" s="239" t="s">
        <v>1167</v>
      </c>
      <c r="G23" s="246"/>
      <c r="H23" s="230"/>
      <c r="I23" s="230"/>
      <c r="J23" s="230"/>
      <c r="K23" s="230"/>
      <c r="L23" s="230"/>
      <c r="M23" s="230"/>
      <c r="N23" s="230"/>
      <c r="O23" s="230"/>
      <c r="P23" s="230"/>
      <c r="Q23" s="230"/>
      <c r="R23" s="230"/>
      <c r="S23" s="230"/>
      <c r="T23" s="230"/>
      <c r="U23" s="230"/>
      <c r="V23" s="230"/>
      <c r="W23" s="230"/>
      <c r="X23" s="230"/>
      <c r="Y23" s="230"/>
      <c r="Z23" s="230"/>
    </row>
    <row r="24" ht="13.5" customHeight="1">
      <c r="A24" s="241" t="s">
        <v>1168</v>
      </c>
      <c r="B24" s="241" t="s">
        <v>1169</v>
      </c>
      <c r="C24" s="240">
        <v>3000.0</v>
      </c>
      <c r="D24" s="240">
        <v>3600.0</v>
      </c>
      <c r="E24" s="240">
        <v>3900.0</v>
      </c>
      <c r="F24" s="239" t="s">
        <v>1170</v>
      </c>
      <c r="G24" s="246"/>
      <c r="H24" s="230"/>
      <c r="I24" s="230"/>
      <c r="J24" s="230"/>
      <c r="K24" s="230"/>
      <c r="L24" s="230"/>
      <c r="M24" s="230"/>
      <c r="N24" s="230"/>
      <c r="O24" s="230"/>
      <c r="P24" s="230"/>
      <c r="Q24" s="230"/>
      <c r="R24" s="230"/>
      <c r="S24" s="230"/>
      <c r="T24" s="230"/>
      <c r="U24" s="230"/>
      <c r="V24" s="230"/>
      <c r="W24" s="230"/>
      <c r="X24" s="230"/>
      <c r="Y24" s="230"/>
      <c r="Z24" s="230"/>
    </row>
    <row r="25" ht="13.5" customHeight="1">
      <c r="A25" s="241" t="s">
        <v>1171</v>
      </c>
      <c r="B25" s="241" t="s">
        <v>971</v>
      </c>
      <c r="C25" s="240">
        <v>2800.0</v>
      </c>
      <c r="D25" s="240">
        <v>3400.0</v>
      </c>
      <c r="E25" s="240">
        <v>3700.0</v>
      </c>
      <c r="F25" s="242" t="s">
        <v>1172</v>
      </c>
      <c r="G25" s="40"/>
      <c r="H25" s="230"/>
      <c r="I25" s="230"/>
      <c r="J25" s="230"/>
      <c r="K25" s="230"/>
      <c r="L25" s="230"/>
      <c r="M25" s="230"/>
      <c r="N25" s="230"/>
      <c r="O25" s="230"/>
      <c r="P25" s="230"/>
      <c r="Q25" s="230"/>
      <c r="R25" s="230"/>
      <c r="S25" s="230"/>
      <c r="T25" s="230"/>
      <c r="U25" s="230"/>
      <c r="V25" s="230"/>
      <c r="W25" s="230"/>
      <c r="X25" s="230"/>
      <c r="Y25" s="230"/>
      <c r="Z25" s="230"/>
    </row>
    <row r="26" ht="13.5" customHeight="1">
      <c r="A26" s="241" t="s">
        <v>1173</v>
      </c>
      <c r="B26" s="241" t="s">
        <v>1174</v>
      </c>
      <c r="C26" s="240">
        <v>2900.0</v>
      </c>
      <c r="D26" s="240">
        <v>3500.0</v>
      </c>
      <c r="E26" s="240">
        <v>3800.0</v>
      </c>
      <c r="F26" s="242" t="s">
        <v>1175</v>
      </c>
      <c r="G26" s="40"/>
      <c r="H26" s="230"/>
      <c r="I26" s="230"/>
      <c r="J26" s="230"/>
      <c r="K26" s="230"/>
      <c r="L26" s="230"/>
      <c r="M26" s="230"/>
      <c r="N26" s="230"/>
      <c r="O26" s="230"/>
      <c r="P26" s="230"/>
      <c r="Q26" s="230"/>
      <c r="R26" s="230"/>
      <c r="S26" s="230"/>
      <c r="T26" s="230"/>
      <c r="U26" s="230"/>
      <c r="V26" s="230"/>
      <c r="W26" s="230"/>
      <c r="X26" s="230"/>
      <c r="Y26" s="230"/>
      <c r="Z26" s="230"/>
    </row>
    <row r="27" ht="13.5" customHeight="1">
      <c r="A27" s="241" t="s">
        <v>1176</v>
      </c>
      <c r="B27" s="241" t="s">
        <v>1177</v>
      </c>
      <c r="C27" s="240">
        <v>3100.0</v>
      </c>
      <c r="D27" s="240">
        <v>3700.0</v>
      </c>
      <c r="E27" s="240">
        <v>4000.0</v>
      </c>
      <c r="F27" s="242" t="s">
        <v>1178</v>
      </c>
      <c r="G27" s="40"/>
      <c r="H27" s="230"/>
      <c r="I27" s="230"/>
      <c r="J27" s="230"/>
      <c r="K27" s="230"/>
      <c r="L27" s="230"/>
      <c r="M27" s="230"/>
      <c r="N27" s="230"/>
      <c r="O27" s="230"/>
      <c r="P27" s="230"/>
      <c r="Q27" s="230"/>
      <c r="R27" s="230"/>
      <c r="S27" s="230"/>
      <c r="T27" s="230"/>
      <c r="U27" s="230"/>
      <c r="V27" s="230"/>
      <c r="W27" s="230"/>
      <c r="X27" s="230"/>
      <c r="Y27" s="230"/>
      <c r="Z27" s="230"/>
    </row>
    <row r="28" ht="13.5" customHeight="1">
      <c r="A28" s="241" t="s">
        <v>1179</v>
      </c>
      <c r="B28" s="241" t="s">
        <v>1180</v>
      </c>
      <c r="C28" s="240">
        <v>3400.0</v>
      </c>
      <c r="D28" s="240">
        <v>4100.0</v>
      </c>
      <c r="E28" s="240">
        <v>4400.0</v>
      </c>
      <c r="F28" s="242" t="s">
        <v>1181</v>
      </c>
      <c r="G28" s="40"/>
      <c r="H28" s="230"/>
      <c r="I28" s="230"/>
      <c r="J28" s="230"/>
      <c r="K28" s="230"/>
      <c r="L28" s="230"/>
      <c r="M28" s="230"/>
      <c r="N28" s="230"/>
      <c r="O28" s="230"/>
      <c r="P28" s="230"/>
      <c r="Q28" s="230"/>
      <c r="R28" s="230"/>
      <c r="S28" s="230"/>
      <c r="T28" s="230"/>
      <c r="U28" s="230"/>
      <c r="V28" s="230"/>
      <c r="W28" s="230"/>
      <c r="X28" s="230"/>
      <c r="Y28" s="230"/>
      <c r="Z28" s="230"/>
    </row>
    <row r="29" ht="13.5" customHeight="1">
      <c r="A29" s="241" t="s">
        <v>1182</v>
      </c>
      <c r="B29" s="241" t="s">
        <v>1183</v>
      </c>
      <c r="C29" s="240">
        <v>3700.0</v>
      </c>
      <c r="D29" s="240">
        <v>4400.0</v>
      </c>
      <c r="E29" s="240">
        <v>4700.0</v>
      </c>
      <c r="F29" s="239" t="s">
        <v>1184</v>
      </c>
      <c r="G29" s="246"/>
      <c r="H29" s="230"/>
      <c r="I29" s="230"/>
      <c r="J29" s="230"/>
      <c r="K29" s="230"/>
      <c r="L29" s="230"/>
      <c r="M29" s="230"/>
      <c r="N29" s="230"/>
      <c r="O29" s="230"/>
      <c r="P29" s="230"/>
      <c r="Q29" s="230"/>
      <c r="R29" s="230"/>
      <c r="S29" s="230"/>
      <c r="T29" s="230"/>
      <c r="U29" s="230"/>
      <c r="V29" s="230"/>
      <c r="W29" s="230"/>
      <c r="X29" s="230"/>
      <c r="Y29" s="230"/>
      <c r="Z29" s="230"/>
    </row>
    <row r="30" ht="13.5" customHeight="1">
      <c r="A30" s="241" t="s">
        <v>1185</v>
      </c>
      <c r="B30" s="241" t="s">
        <v>1183</v>
      </c>
      <c r="C30" s="240">
        <v>3900.0</v>
      </c>
      <c r="D30" s="240">
        <v>4600.0</v>
      </c>
      <c r="E30" s="240">
        <v>4900.0</v>
      </c>
      <c r="F30" s="239" t="s">
        <v>1184</v>
      </c>
      <c r="G30" s="246"/>
      <c r="H30" s="230"/>
      <c r="I30" s="230"/>
      <c r="J30" s="230"/>
      <c r="K30" s="230"/>
      <c r="L30" s="230"/>
      <c r="M30" s="230"/>
      <c r="N30" s="230"/>
      <c r="O30" s="230"/>
      <c r="P30" s="230"/>
      <c r="Q30" s="230"/>
      <c r="R30" s="230"/>
      <c r="S30" s="230"/>
      <c r="T30" s="230"/>
      <c r="U30" s="230"/>
      <c r="V30" s="230"/>
      <c r="W30" s="230"/>
      <c r="X30" s="230"/>
      <c r="Y30" s="230"/>
      <c r="Z30" s="230"/>
    </row>
    <row r="31" ht="13.5" customHeight="1">
      <c r="A31" s="241" t="s">
        <v>1186</v>
      </c>
      <c r="B31" s="241" t="s">
        <v>1187</v>
      </c>
      <c r="C31" s="240">
        <v>3600.0</v>
      </c>
      <c r="D31" s="240">
        <v>4300.0</v>
      </c>
      <c r="E31" s="240">
        <v>4600.0</v>
      </c>
      <c r="F31" s="242" t="s">
        <v>1188</v>
      </c>
      <c r="G31" s="40"/>
      <c r="H31" s="230"/>
      <c r="I31" s="230"/>
      <c r="J31" s="230"/>
      <c r="K31" s="230"/>
      <c r="L31" s="230"/>
      <c r="M31" s="230"/>
      <c r="N31" s="230"/>
      <c r="O31" s="230"/>
      <c r="P31" s="230"/>
      <c r="Q31" s="230"/>
      <c r="R31" s="230"/>
      <c r="S31" s="230"/>
      <c r="T31" s="230"/>
      <c r="U31" s="230"/>
      <c r="V31" s="230"/>
      <c r="W31" s="230"/>
      <c r="X31" s="230"/>
      <c r="Y31" s="230"/>
      <c r="Z31" s="230"/>
    </row>
    <row r="32" ht="13.5" customHeight="1">
      <c r="A32" s="241" t="s">
        <v>1189</v>
      </c>
      <c r="B32" s="241" t="s">
        <v>1174</v>
      </c>
      <c r="C32" s="240">
        <v>3300.0</v>
      </c>
      <c r="D32" s="240">
        <v>4000.0</v>
      </c>
      <c r="E32" s="240">
        <v>4300.0</v>
      </c>
      <c r="F32" s="242" t="s">
        <v>1175</v>
      </c>
      <c r="G32" s="40"/>
      <c r="H32" s="230"/>
      <c r="I32" s="230"/>
      <c r="J32" s="230"/>
      <c r="K32" s="230"/>
      <c r="L32" s="230"/>
      <c r="M32" s="230"/>
      <c r="N32" s="230"/>
      <c r="O32" s="230"/>
      <c r="P32" s="230"/>
      <c r="Q32" s="230"/>
      <c r="R32" s="230"/>
      <c r="S32" s="230"/>
      <c r="T32" s="230"/>
      <c r="U32" s="230"/>
      <c r="V32" s="230"/>
      <c r="W32" s="230"/>
      <c r="X32" s="230"/>
      <c r="Y32" s="230"/>
      <c r="Z32" s="230"/>
    </row>
    <row r="33" ht="13.5" customHeight="1">
      <c r="A33" s="241" t="s">
        <v>1190</v>
      </c>
      <c r="B33" s="241" t="s">
        <v>1191</v>
      </c>
      <c r="C33" s="240">
        <v>3500.0</v>
      </c>
      <c r="D33" s="240">
        <v>4200.0</v>
      </c>
      <c r="E33" s="240">
        <v>4500.0</v>
      </c>
      <c r="F33" s="242" t="s">
        <v>1192</v>
      </c>
      <c r="G33" s="40"/>
      <c r="H33" s="230"/>
      <c r="I33" s="230"/>
      <c r="J33" s="230"/>
      <c r="K33" s="230"/>
      <c r="L33" s="230"/>
      <c r="M33" s="230"/>
      <c r="N33" s="230"/>
      <c r="O33" s="230"/>
      <c r="P33" s="230"/>
      <c r="Q33" s="230"/>
      <c r="R33" s="230"/>
      <c r="S33" s="230"/>
      <c r="T33" s="230"/>
      <c r="U33" s="230"/>
      <c r="V33" s="230"/>
      <c r="W33" s="230"/>
      <c r="X33" s="230"/>
      <c r="Y33" s="230"/>
      <c r="Z33" s="230"/>
    </row>
    <row r="34" ht="13.5" customHeight="1">
      <c r="A34" s="241" t="s">
        <v>1193</v>
      </c>
      <c r="B34" s="241" t="s">
        <v>1194</v>
      </c>
      <c r="C34" s="240">
        <v>4100.0</v>
      </c>
      <c r="D34" s="240">
        <v>4800.0</v>
      </c>
      <c r="E34" s="240">
        <v>5100.0</v>
      </c>
      <c r="F34" s="242" t="s">
        <v>1195</v>
      </c>
      <c r="G34" s="40"/>
      <c r="H34" s="230"/>
      <c r="I34" s="230"/>
      <c r="J34" s="230"/>
      <c r="K34" s="230"/>
      <c r="L34" s="230"/>
      <c r="M34" s="230"/>
      <c r="N34" s="230"/>
      <c r="O34" s="230"/>
      <c r="P34" s="230"/>
      <c r="Q34" s="230"/>
      <c r="R34" s="230"/>
      <c r="S34" s="230"/>
      <c r="T34" s="230"/>
      <c r="U34" s="230"/>
      <c r="V34" s="230"/>
      <c r="W34" s="230"/>
      <c r="X34" s="230"/>
      <c r="Y34" s="230"/>
      <c r="Z34" s="230"/>
    </row>
    <row r="35" ht="13.5" customHeight="1">
      <c r="A35" s="230"/>
      <c r="B35" s="230"/>
      <c r="C35" s="230"/>
      <c r="D35" s="230"/>
      <c r="E35" s="230"/>
      <c r="F35" s="230"/>
      <c r="G35" s="230"/>
      <c r="H35" s="230"/>
      <c r="I35" s="230"/>
      <c r="J35" s="230"/>
      <c r="K35" s="230"/>
      <c r="L35" s="230"/>
      <c r="M35" s="230"/>
      <c r="N35" s="230"/>
      <c r="O35" s="230"/>
      <c r="P35" s="230"/>
      <c r="Q35" s="230"/>
      <c r="R35" s="230"/>
      <c r="S35" s="230"/>
      <c r="T35" s="230"/>
      <c r="U35" s="230"/>
      <c r="V35" s="230"/>
      <c r="W35" s="230"/>
      <c r="X35" s="230"/>
      <c r="Y35" s="230"/>
      <c r="Z35" s="230"/>
    </row>
    <row r="36" ht="21.75" customHeight="1">
      <c r="A36" s="235" t="s">
        <v>1196</v>
      </c>
      <c r="B36" s="39"/>
      <c r="C36" s="39"/>
      <c r="D36" s="39"/>
      <c r="E36" s="39"/>
      <c r="F36" s="39"/>
      <c r="G36" s="39"/>
      <c r="H36" s="40"/>
      <c r="I36" s="236"/>
      <c r="J36" s="236"/>
      <c r="K36" s="236"/>
      <c r="L36" s="236"/>
      <c r="M36" s="236"/>
      <c r="N36" s="236"/>
      <c r="O36" s="230"/>
      <c r="P36" s="230"/>
      <c r="Q36" s="230"/>
      <c r="R36" s="230"/>
      <c r="S36" s="230"/>
      <c r="T36" s="230"/>
      <c r="U36" s="230"/>
      <c r="V36" s="230"/>
      <c r="W36" s="230"/>
      <c r="X36" s="230"/>
      <c r="Y36" s="230"/>
      <c r="Z36" s="230"/>
    </row>
    <row r="37" ht="13.5" customHeight="1">
      <c r="A37" s="237" t="s">
        <v>1159</v>
      </c>
      <c r="B37" s="237" t="s">
        <v>1197</v>
      </c>
      <c r="C37" s="237" t="s">
        <v>1198</v>
      </c>
      <c r="D37" s="237" t="s">
        <v>1199</v>
      </c>
      <c r="E37" s="237" t="s">
        <v>1200</v>
      </c>
      <c r="F37" s="237" t="s">
        <v>1201</v>
      </c>
      <c r="G37" s="237" t="s">
        <v>1202</v>
      </c>
      <c r="H37" s="237" t="s">
        <v>1203</v>
      </c>
      <c r="I37" s="230"/>
      <c r="J37" s="230"/>
      <c r="K37" s="230"/>
      <c r="L37" s="230"/>
      <c r="M37" s="230"/>
      <c r="N37" s="230"/>
      <c r="O37" s="230"/>
      <c r="P37" s="230"/>
      <c r="Q37" s="230"/>
      <c r="R37" s="230"/>
      <c r="S37" s="230"/>
      <c r="T37" s="230"/>
      <c r="U37" s="230"/>
      <c r="V37" s="230"/>
      <c r="W37" s="230"/>
      <c r="X37" s="230"/>
      <c r="Y37" s="230"/>
      <c r="Z37" s="230"/>
    </row>
    <row r="38" ht="13.5" customHeight="1">
      <c r="A38" s="241" t="s">
        <v>1165</v>
      </c>
      <c r="B38" s="239">
        <f t="shared" ref="B38:B49" si="2">E38+C23+F38</f>
        <v>4997</v>
      </c>
      <c r="C38" s="239">
        <f t="shared" ref="C38:C49" si="3">E38+D23+G38</f>
        <v>5257</v>
      </c>
      <c r="D38" s="239">
        <f t="shared" ref="D38:D49" si="4">E38+E23+H38</f>
        <v>5692</v>
      </c>
      <c r="E38" s="239">
        <f t="shared" ref="E38:E49" si="5">$B$13</f>
        <v>522</v>
      </c>
      <c r="F38" s="239">
        <f t="shared" ref="F38:F49" si="6">$H$17</f>
        <v>1275</v>
      </c>
      <c r="G38" s="239">
        <f t="shared" ref="G38:G49" si="7">$H$18</f>
        <v>935</v>
      </c>
      <c r="H38" s="239">
        <f t="shared" ref="H38:H49" si="8">$H$19</f>
        <v>1070</v>
      </c>
      <c r="I38" s="230"/>
      <c r="J38" s="230"/>
      <c r="K38" s="230"/>
      <c r="L38" s="230"/>
      <c r="M38" s="230"/>
      <c r="N38" s="230"/>
      <c r="O38" s="230"/>
      <c r="P38" s="230"/>
      <c r="Q38" s="230"/>
      <c r="R38" s="230"/>
      <c r="S38" s="230"/>
      <c r="T38" s="230"/>
      <c r="U38" s="230"/>
      <c r="V38" s="230"/>
      <c r="W38" s="230"/>
      <c r="X38" s="230"/>
      <c r="Y38" s="230"/>
      <c r="Z38" s="230"/>
    </row>
    <row r="39" ht="13.5" customHeight="1">
      <c r="A39" s="241" t="s">
        <v>1168</v>
      </c>
      <c r="B39" s="239">
        <f t="shared" si="2"/>
        <v>4797</v>
      </c>
      <c r="C39" s="239">
        <f t="shared" si="3"/>
        <v>5057</v>
      </c>
      <c r="D39" s="239">
        <f t="shared" si="4"/>
        <v>5492</v>
      </c>
      <c r="E39" s="239">
        <f t="shared" si="5"/>
        <v>522</v>
      </c>
      <c r="F39" s="239">
        <f t="shared" si="6"/>
        <v>1275</v>
      </c>
      <c r="G39" s="239">
        <f t="shared" si="7"/>
        <v>935</v>
      </c>
      <c r="H39" s="239">
        <f t="shared" si="8"/>
        <v>1070</v>
      </c>
      <c r="I39" s="230"/>
      <c r="J39" s="230"/>
      <c r="K39" s="230"/>
      <c r="L39" s="230"/>
      <c r="M39" s="230"/>
      <c r="N39" s="230"/>
      <c r="O39" s="230"/>
      <c r="P39" s="230"/>
      <c r="Q39" s="230"/>
      <c r="R39" s="230"/>
      <c r="S39" s="230"/>
      <c r="T39" s="230"/>
      <c r="U39" s="230"/>
      <c r="V39" s="230"/>
      <c r="W39" s="230"/>
      <c r="X39" s="230"/>
      <c r="Y39" s="230"/>
      <c r="Z39" s="230"/>
    </row>
    <row r="40" ht="13.5" customHeight="1">
      <c r="A40" s="241" t="s">
        <v>1171</v>
      </c>
      <c r="B40" s="239">
        <f t="shared" si="2"/>
        <v>4597</v>
      </c>
      <c r="C40" s="239">
        <f t="shared" si="3"/>
        <v>4857</v>
      </c>
      <c r="D40" s="239">
        <f t="shared" si="4"/>
        <v>5292</v>
      </c>
      <c r="E40" s="239">
        <f t="shared" si="5"/>
        <v>522</v>
      </c>
      <c r="F40" s="239">
        <f t="shared" si="6"/>
        <v>1275</v>
      </c>
      <c r="G40" s="239">
        <f t="shared" si="7"/>
        <v>935</v>
      </c>
      <c r="H40" s="239">
        <f t="shared" si="8"/>
        <v>1070</v>
      </c>
      <c r="I40" s="230"/>
      <c r="J40" s="230"/>
      <c r="K40" s="230"/>
      <c r="L40" s="230"/>
      <c r="M40" s="230"/>
      <c r="N40" s="230"/>
      <c r="O40" s="230"/>
      <c r="P40" s="230"/>
      <c r="Q40" s="230"/>
      <c r="R40" s="230"/>
      <c r="S40" s="230"/>
      <c r="T40" s="230"/>
      <c r="U40" s="230"/>
      <c r="V40" s="230"/>
      <c r="W40" s="230"/>
      <c r="X40" s="230"/>
      <c r="Y40" s="230"/>
      <c r="Z40" s="230"/>
    </row>
    <row r="41" ht="13.5" customHeight="1">
      <c r="A41" s="241" t="s">
        <v>1173</v>
      </c>
      <c r="B41" s="239">
        <f t="shared" si="2"/>
        <v>4697</v>
      </c>
      <c r="C41" s="239">
        <f t="shared" si="3"/>
        <v>4957</v>
      </c>
      <c r="D41" s="239">
        <f t="shared" si="4"/>
        <v>5392</v>
      </c>
      <c r="E41" s="239">
        <f t="shared" si="5"/>
        <v>522</v>
      </c>
      <c r="F41" s="239">
        <f t="shared" si="6"/>
        <v>1275</v>
      </c>
      <c r="G41" s="239">
        <f t="shared" si="7"/>
        <v>935</v>
      </c>
      <c r="H41" s="239">
        <f t="shared" si="8"/>
        <v>1070</v>
      </c>
      <c r="I41" s="230"/>
      <c r="J41" s="230"/>
      <c r="K41" s="230"/>
      <c r="L41" s="230"/>
      <c r="M41" s="230"/>
      <c r="N41" s="230"/>
      <c r="O41" s="230"/>
      <c r="P41" s="230"/>
      <c r="Q41" s="230"/>
      <c r="R41" s="230"/>
      <c r="S41" s="230"/>
      <c r="T41" s="230"/>
      <c r="U41" s="230"/>
      <c r="V41" s="230"/>
      <c r="W41" s="230"/>
      <c r="X41" s="230"/>
      <c r="Y41" s="230"/>
      <c r="Z41" s="230"/>
    </row>
    <row r="42" ht="13.5" customHeight="1">
      <c r="A42" s="241" t="s">
        <v>1176</v>
      </c>
      <c r="B42" s="239">
        <f t="shared" si="2"/>
        <v>4897</v>
      </c>
      <c r="C42" s="239">
        <f t="shared" si="3"/>
        <v>5157</v>
      </c>
      <c r="D42" s="239">
        <f t="shared" si="4"/>
        <v>5592</v>
      </c>
      <c r="E42" s="239">
        <f t="shared" si="5"/>
        <v>522</v>
      </c>
      <c r="F42" s="239">
        <f t="shared" si="6"/>
        <v>1275</v>
      </c>
      <c r="G42" s="239">
        <f t="shared" si="7"/>
        <v>935</v>
      </c>
      <c r="H42" s="239">
        <f t="shared" si="8"/>
        <v>1070</v>
      </c>
      <c r="I42" s="230"/>
      <c r="J42" s="230"/>
      <c r="K42" s="230"/>
      <c r="L42" s="230"/>
      <c r="M42" s="230"/>
      <c r="N42" s="230"/>
      <c r="O42" s="230"/>
      <c r="P42" s="230"/>
      <c r="Q42" s="230"/>
      <c r="R42" s="230"/>
      <c r="S42" s="230"/>
      <c r="T42" s="230"/>
      <c r="U42" s="230"/>
      <c r="V42" s="230"/>
      <c r="W42" s="230"/>
      <c r="X42" s="230"/>
      <c r="Y42" s="230"/>
      <c r="Z42" s="230"/>
    </row>
    <row r="43" ht="13.5" customHeight="1">
      <c r="A43" s="241" t="s">
        <v>1179</v>
      </c>
      <c r="B43" s="239">
        <f t="shared" si="2"/>
        <v>5197</v>
      </c>
      <c r="C43" s="239">
        <f t="shared" si="3"/>
        <v>5557</v>
      </c>
      <c r="D43" s="239">
        <f t="shared" si="4"/>
        <v>5992</v>
      </c>
      <c r="E43" s="239">
        <f t="shared" si="5"/>
        <v>522</v>
      </c>
      <c r="F43" s="239">
        <f t="shared" si="6"/>
        <v>1275</v>
      </c>
      <c r="G43" s="239">
        <f t="shared" si="7"/>
        <v>935</v>
      </c>
      <c r="H43" s="239">
        <f t="shared" si="8"/>
        <v>1070</v>
      </c>
      <c r="I43" s="230"/>
      <c r="J43" s="230"/>
      <c r="K43" s="230"/>
      <c r="L43" s="230"/>
      <c r="M43" s="230"/>
      <c r="N43" s="230"/>
      <c r="O43" s="230"/>
      <c r="P43" s="230"/>
      <c r="Q43" s="230"/>
      <c r="R43" s="230"/>
      <c r="S43" s="230"/>
      <c r="T43" s="230"/>
      <c r="U43" s="230"/>
      <c r="V43" s="230"/>
      <c r="W43" s="230"/>
      <c r="X43" s="230"/>
      <c r="Y43" s="230"/>
      <c r="Z43" s="230"/>
    </row>
    <row r="44" ht="13.5" customHeight="1">
      <c r="A44" s="241" t="s">
        <v>1182</v>
      </c>
      <c r="B44" s="239">
        <f t="shared" si="2"/>
        <v>5497</v>
      </c>
      <c r="C44" s="239">
        <f t="shared" si="3"/>
        <v>5857</v>
      </c>
      <c r="D44" s="239">
        <f t="shared" si="4"/>
        <v>6292</v>
      </c>
      <c r="E44" s="239">
        <f t="shared" si="5"/>
        <v>522</v>
      </c>
      <c r="F44" s="239">
        <f t="shared" si="6"/>
        <v>1275</v>
      </c>
      <c r="G44" s="239">
        <f t="shared" si="7"/>
        <v>935</v>
      </c>
      <c r="H44" s="239">
        <f t="shared" si="8"/>
        <v>1070</v>
      </c>
      <c r="I44" s="230"/>
      <c r="J44" s="230"/>
      <c r="K44" s="230"/>
      <c r="L44" s="230"/>
      <c r="M44" s="230"/>
      <c r="N44" s="230"/>
      <c r="O44" s="230"/>
      <c r="P44" s="230"/>
      <c r="Q44" s="230"/>
      <c r="R44" s="230"/>
      <c r="S44" s="230"/>
      <c r="T44" s="230"/>
      <c r="U44" s="230"/>
      <c r="V44" s="230"/>
      <c r="W44" s="230"/>
      <c r="X44" s="230"/>
      <c r="Y44" s="230"/>
      <c r="Z44" s="230"/>
    </row>
    <row r="45" ht="13.5" customHeight="1">
      <c r="A45" s="241" t="s">
        <v>1185</v>
      </c>
      <c r="B45" s="239">
        <f t="shared" si="2"/>
        <v>5697</v>
      </c>
      <c r="C45" s="239">
        <f t="shared" si="3"/>
        <v>6057</v>
      </c>
      <c r="D45" s="239">
        <f t="shared" si="4"/>
        <v>6492</v>
      </c>
      <c r="E45" s="239">
        <f t="shared" si="5"/>
        <v>522</v>
      </c>
      <c r="F45" s="239">
        <f t="shared" si="6"/>
        <v>1275</v>
      </c>
      <c r="G45" s="239">
        <f t="shared" si="7"/>
        <v>935</v>
      </c>
      <c r="H45" s="239">
        <f t="shared" si="8"/>
        <v>1070</v>
      </c>
      <c r="I45" s="230"/>
      <c r="J45" s="230"/>
      <c r="K45" s="230"/>
      <c r="L45" s="230"/>
      <c r="M45" s="230"/>
      <c r="N45" s="230"/>
      <c r="O45" s="230"/>
      <c r="P45" s="230"/>
      <c r="Q45" s="230"/>
      <c r="R45" s="230"/>
      <c r="S45" s="230"/>
      <c r="T45" s="230"/>
      <c r="U45" s="230"/>
      <c r="V45" s="230"/>
      <c r="W45" s="230"/>
      <c r="X45" s="230"/>
      <c r="Y45" s="230"/>
      <c r="Z45" s="230"/>
    </row>
    <row r="46" ht="13.5" customHeight="1">
      <c r="A46" s="241" t="s">
        <v>1186</v>
      </c>
      <c r="B46" s="239">
        <f t="shared" si="2"/>
        <v>5397</v>
      </c>
      <c r="C46" s="239">
        <f t="shared" si="3"/>
        <v>5757</v>
      </c>
      <c r="D46" s="239">
        <f t="shared" si="4"/>
        <v>6192</v>
      </c>
      <c r="E46" s="239">
        <f t="shared" si="5"/>
        <v>522</v>
      </c>
      <c r="F46" s="239">
        <f t="shared" si="6"/>
        <v>1275</v>
      </c>
      <c r="G46" s="239">
        <f t="shared" si="7"/>
        <v>935</v>
      </c>
      <c r="H46" s="239">
        <f t="shared" si="8"/>
        <v>1070</v>
      </c>
      <c r="I46" s="230"/>
      <c r="J46" s="230"/>
      <c r="K46" s="230"/>
      <c r="L46" s="230"/>
      <c r="M46" s="230"/>
      <c r="N46" s="230"/>
      <c r="O46" s="230"/>
      <c r="P46" s="230"/>
      <c r="Q46" s="230"/>
      <c r="R46" s="230"/>
      <c r="S46" s="230"/>
      <c r="T46" s="230"/>
      <c r="U46" s="230"/>
      <c r="V46" s="230"/>
      <c r="W46" s="230"/>
      <c r="X46" s="230"/>
      <c r="Y46" s="230"/>
      <c r="Z46" s="230"/>
    </row>
    <row r="47" ht="13.5" customHeight="1">
      <c r="A47" s="241" t="s">
        <v>1189</v>
      </c>
      <c r="B47" s="239">
        <f t="shared" si="2"/>
        <v>5097</v>
      </c>
      <c r="C47" s="239">
        <f t="shared" si="3"/>
        <v>5457</v>
      </c>
      <c r="D47" s="239">
        <f t="shared" si="4"/>
        <v>5892</v>
      </c>
      <c r="E47" s="239">
        <f t="shared" si="5"/>
        <v>522</v>
      </c>
      <c r="F47" s="239">
        <f t="shared" si="6"/>
        <v>1275</v>
      </c>
      <c r="G47" s="239">
        <f t="shared" si="7"/>
        <v>935</v>
      </c>
      <c r="H47" s="239">
        <f t="shared" si="8"/>
        <v>1070</v>
      </c>
      <c r="I47" s="230"/>
      <c r="J47" s="230"/>
      <c r="K47" s="230"/>
      <c r="L47" s="230"/>
      <c r="M47" s="230"/>
      <c r="N47" s="230"/>
      <c r="O47" s="230"/>
      <c r="P47" s="230"/>
      <c r="Q47" s="230"/>
      <c r="R47" s="230"/>
      <c r="S47" s="230"/>
      <c r="T47" s="230"/>
      <c r="U47" s="230"/>
      <c r="V47" s="230"/>
      <c r="W47" s="230"/>
      <c r="X47" s="230"/>
      <c r="Y47" s="230"/>
      <c r="Z47" s="230"/>
    </row>
    <row r="48" ht="13.5" customHeight="1">
      <c r="A48" s="241" t="s">
        <v>1190</v>
      </c>
      <c r="B48" s="239">
        <f t="shared" si="2"/>
        <v>5297</v>
      </c>
      <c r="C48" s="239">
        <f t="shared" si="3"/>
        <v>5657</v>
      </c>
      <c r="D48" s="239">
        <f t="shared" si="4"/>
        <v>6092</v>
      </c>
      <c r="E48" s="239">
        <f t="shared" si="5"/>
        <v>522</v>
      </c>
      <c r="F48" s="239">
        <f t="shared" si="6"/>
        <v>1275</v>
      </c>
      <c r="G48" s="239">
        <f t="shared" si="7"/>
        <v>935</v>
      </c>
      <c r="H48" s="239">
        <f t="shared" si="8"/>
        <v>1070</v>
      </c>
      <c r="I48" s="230"/>
      <c r="J48" s="230"/>
      <c r="K48" s="230"/>
      <c r="L48" s="230"/>
      <c r="M48" s="230"/>
      <c r="N48" s="230"/>
      <c r="O48" s="230"/>
      <c r="P48" s="230"/>
      <c r="Q48" s="230"/>
      <c r="R48" s="230"/>
      <c r="S48" s="230"/>
      <c r="T48" s="230"/>
      <c r="U48" s="230"/>
      <c r="V48" s="230"/>
      <c r="W48" s="230"/>
      <c r="X48" s="230"/>
      <c r="Y48" s="230"/>
      <c r="Z48" s="230"/>
    </row>
    <row r="49" ht="13.5" customHeight="1">
      <c r="A49" s="241" t="s">
        <v>1193</v>
      </c>
      <c r="B49" s="239">
        <f t="shared" si="2"/>
        <v>5897</v>
      </c>
      <c r="C49" s="239">
        <f t="shared" si="3"/>
        <v>6257</v>
      </c>
      <c r="D49" s="239">
        <f t="shared" si="4"/>
        <v>6692</v>
      </c>
      <c r="E49" s="239">
        <f t="shared" si="5"/>
        <v>522</v>
      </c>
      <c r="F49" s="239">
        <f t="shared" si="6"/>
        <v>1275</v>
      </c>
      <c r="G49" s="239">
        <f t="shared" si="7"/>
        <v>935</v>
      </c>
      <c r="H49" s="239">
        <f t="shared" si="8"/>
        <v>1070</v>
      </c>
      <c r="I49" s="230"/>
      <c r="J49" s="230"/>
      <c r="K49" s="230"/>
      <c r="L49" s="230"/>
      <c r="M49" s="230"/>
      <c r="N49" s="230"/>
      <c r="O49" s="230"/>
      <c r="P49" s="230"/>
      <c r="Q49" s="230"/>
      <c r="R49" s="230"/>
      <c r="S49" s="230"/>
      <c r="T49" s="230"/>
      <c r="U49" s="230"/>
      <c r="V49" s="230"/>
      <c r="W49" s="230"/>
      <c r="X49" s="230"/>
      <c r="Y49" s="230"/>
      <c r="Z49" s="230"/>
    </row>
    <row r="50" ht="13.5" customHeight="1">
      <c r="A50" s="230"/>
      <c r="B50" s="230"/>
      <c r="C50" s="230"/>
      <c r="D50" s="230"/>
      <c r="E50" s="230"/>
      <c r="F50" s="230"/>
      <c r="G50" s="230"/>
      <c r="H50" s="230"/>
      <c r="I50" s="230"/>
      <c r="J50" s="230"/>
      <c r="K50" s="230"/>
      <c r="L50" s="230"/>
      <c r="M50" s="230"/>
      <c r="N50" s="230"/>
      <c r="O50" s="230"/>
      <c r="P50" s="230"/>
      <c r="Q50" s="230"/>
      <c r="R50" s="230"/>
      <c r="S50" s="230"/>
      <c r="T50" s="230"/>
      <c r="U50" s="230"/>
      <c r="V50" s="230"/>
      <c r="W50" s="230"/>
      <c r="X50" s="230"/>
      <c r="Y50" s="230"/>
      <c r="Z50" s="230"/>
    </row>
    <row r="51" ht="21.75" customHeight="1">
      <c r="A51" s="235" t="s">
        <v>1204</v>
      </c>
      <c r="B51" s="39"/>
      <c r="C51" s="39"/>
      <c r="D51" s="39"/>
      <c r="E51" s="39"/>
      <c r="F51" s="39"/>
      <c r="G51" s="39"/>
      <c r="H51" s="39"/>
      <c r="I51" s="39"/>
      <c r="J51" s="40"/>
      <c r="K51" s="236"/>
      <c r="L51" s="236"/>
      <c r="M51" s="236"/>
      <c r="N51" s="236"/>
      <c r="O51" s="230"/>
      <c r="P51" s="230"/>
      <c r="Q51" s="230"/>
      <c r="R51" s="230"/>
      <c r="S51" s="230"/>
      <c r="T51" s="230"/>
      <c r="U51" s="230"/>
      <c r="V51" s="230"/>
      <c r="W51" s="230"/>
      <c r="X51" s="230"/>
      <c r="Y51" s="230"/>
      <c r="Z51" s="230"/>
    </row>
    <row r="52" ht="13.5" customHeight="1">
      <c r="A52" s="237" t="s">
        <v>958</v>
      </c>
      <c r="B52" s="237" t="s">
        <v>1081</v>
      </c>
      <c r="C52" s="237" t="s">
        <v>966</v>
      </c>
      <c r="D52" s="237" t="s">
        <v>1206</v>
      </c>
      <c r="E52" s="237" t="s">
        <v>1207</v>
      </c>
      <c r="F52" s="237" t="s">
        <v>1208</v>
      </c>
      <c r="G52" s="237" t="s">
        <v>1209</v>
      </c>
      <c r="H52" s="237" t="s">
        <v>1210</v>
      </c>
      <c r="I52" s="237" t="s">
        <v>1210</v>
      </c>
      <c r="J52" s="237" t="s">
        <v>1211</v>
      </c>
      <c r="K52" s="247"/>
      <c r="L52" s="230"/>
      <c r="M52" s="230"/>
      <c r="N52" s="230"/>
      <c r="O52" s="230"/>
      <c r="P52" s="230"/>
      <c r="Q52" s="230"/>
      <c r="R52" s="230"/>
      <c r="S52" s="230"/>
      <c r="T52" s="230"/>
      <c r="U52" s="230"/>
      <c r="V52" s="230"/>
      <c r="W52" s="230"/>
      <c r="X52" s="230"/>
      <c r="Y52" s="230"/>
      <c r="Z52" s="230"/>
    </row>
    <row r="53" ht="13.5" customHeight="1">
      <c r="A53" s="241" t="s">
        <v>968</v>
      </c>
      <c r="B53" s="239" t="s">
        <v>969</v>
      </c>
      <c r="C53" s="248">
        <v>45000.0</v>
      </c>
      <c r="D53" s="239">
        <f t="shared" ref="D53:D57" si="10">AVERAGE($B$38:$B$49)</f>
        <v>5172</v>
      </c>
      <c r="E53" s="249">
        <f t="shared" ref="E53:E57" si="11">D53/C53</f>
        <v>0.1149333333</v>
      </c>
      <c r="F53" s="239">
        <f t="shared" ref="F53:F57" si="12">AVERAGE($C$38:$C$49)</f>
        <v>5490.333333</v>
      </c>
      <c r="G53" s="249">
        <f t="shared" ref="G53:G57" si="13">F53/C53</f>
        <v>0.1220074074</v>
      </c>
      <c r="H53" s="239">
        <f t="shared" ref="H53:I53" si="9">AVERAGE($D$38:$D$49)</f>
        <v>5925.333333</v>
      </c>
      <c r="I53" s="239">
        <f t="shared" si="9"/>
        <v>5925.333333</v>
      </c>
      <c r="J53" s="249">
        <f t="shared" ref="J53:J57" si="15">I53/C53</f>
        <v>0.1316740741</v>
      </c>
      <c r="K53" s="250"/>
      <c r="L53" s="230"/>
      <c r="M53" s="230"/>
      <c r="N53" s="230"/>
      <c r="O53" s="230"/>
      <c r="P53" s="230"/>
      <c r="Q53" s="230"/>
      <c r="R53" s="230"/>
      <c r="S53" s="230"/>
      <c r="T53" s="230"/>
      <c r="U53" s="230"/>
      <c r="V53" s="230"/>
      <c r="W53" s="230"/>
      <c r="X53" s="230"/>
      <c r="Y53" s="230"/>
      <c r="Z53" s="230"/>
    </row>
    <row r="54" ht="13.5" customHeight="1">
      <c r="A54" s="241" t="s">
        <v>972</v>
      </c>
      <c r="B54" s="239" t="s">
        <v>973</v>
      </c>
      <c r="C54" s="248">
        <v>42000.0</v>
      </c>
      <c r="D54" s="239">
        <f t="shared" si="10"/>
        <v>5172</v>
      </c>
      <c r="E54" s="249">
        <f t="shared" si="11"/>
        <v>0.1231428571</v>
      </c>
      <c r="F54" s="239">
        <f t="shared" si="12"/>
        <v>5490.333333</v>
      </c>
      <c r="G54" s="249">
        <f t="shared" si="13"/>
        <v>0.1307222222</v>
      </c>
      <c r="H54" s="239">
        <f t="shared" ref="H54:I54" si="14">AVERAGE($D$38:$D$49)</f>
        <v>5925.333333</v>
      </c>
      <c r="I54" s="239">
        <f t="shared" si="14"/>
        <v>5925.333333</v>
      </c>
      <c r="J54" s="249">
        <f t="shared" si="15"/>
        <v>0.1410793651</v>
      </c>
      <c r="K54" s="250"/>
      <c r="L54" s="230"/>
      <c r="M54" s="230"/>
      <c r="N54" s="230"/>
      <c r="O54" s="230"/>
      <c r="P54" s="230"/>
      <c r="Q54" s="230"/>
      <c r="R54" s="230"/>
      <c r="S54" s="230"/>
      <c r="T54" s="230"/>
      <c r="U54" s="230"/>
      <c r="V54" s="230"/>
      <c r="W54" s="230"/>
      <c r="X54" s="230"/>
      <c r="Y54" s="230"/>
      <c r="Z54" s="230"/>
    </row>
    <row r="55" ht="13.5" customHeight="1">
      <c r="A55" s="241" t="s">
        <v>976</v>
      </c>
      <c r="B55" s="239" t="s">
        <v>977</v>
      </c>
      <c r="C55" s="248">
        <v>26000.0</v>
      </c>
      <c r="D55" s="239">
        <f t="shared" si="10"/>
        <v>5172</v>
      </c>
      <c r="E55" s="249">
        <f t="shared" si="11"/>
        <v>0.1989230769</v>
      </c>
      <c r="F55" s="239">
        <f t="shared" si="12"/>
        <v>5490.333333</v>
      </c>
      <c r="G55" s="249">
        <f t="shared" si="13"/>
        <v>0.2111666667</v>
      </c>
      <c r="H55" s="239">
        <f t="shared" ref="H55:I55" si="16">AVERAGE($D$38:$D$49)</f>
        <v>5925.333333</v>
      </c>
      <c r="I55" s="239">
        <f t="shared" si="16"/>
        <v>5925.333333</v>
      </c>
      <c r="J55" s="249">
        <f t="shared" si="15"/>
        <v>0.2278974359</v>
      </c>
      <c r="K55" s="250"/>
      <c r="L55" s="230"/>
      <c r="M55" s="230"/>
      <c r="N55" s="230"/>
      <c r="O55" s="230"/>
      <c r="P55" s="230"/>
      <c r="Q55" s="230"/>
      <c r="R55" s="230"/>
      <c r="S55" s="230"/>
      <c r="T55" s="230"/>
      <c r="U55" s="230"/>
      <c r="V55" s="230"/>
      <c r="W55" s="230"/>
      <c r="X55" s="230"/>
      <c r="Y55" s="230"/>
      <c r="Z55" s="230"/>
    </row>
    <row r="56" ht="13.5" customHeight="1">
      <c r="A56" s="241" t="s">
        <v>979</v>
      </c>
      <c r="B56" s="239" t="s">
        <v>980</v>
      </c>
      <c r="C56" s="248">
        <v>18000.0</v>
      </c>
      <c r="D56" s="239">
        <f t="shared" si="10"/>
        <v>5172</v>
      </c>
      <c r="E56" s="249">
        <f t="shared" si="11"/>
        <v>0.2873333333</v>
      </c>
      <c r="F56" s="239">
        <f t="shared" si="12"/>
        <v>5490.333333</v>
      </c>
      <c r="G56" s="249">
        <f t="shared" si="13"/>
        <v>0.3050185185</v>
      </c>
      <c r="H56" s="239">
        <f t="shared" ref="H56:I56" si="17">AVERAGE($D$38:$D$49)</f>
        <v>5925.333333</v>
      </c>
      <c r="I56" s="239">
        <f t="shared" si="17"/>
        <v>5925.333333</v>
      </c>
      <c r="J56" s="249">
        <f t="shared" si="15"/>
        <v>0.3291851852</v>
      </c>
      <c r="K56" s="250"/>
      <c r="L56" s="230"/>
      <c r="M56" s="230"/>
      <c r="N56" s="230"/>
      <c r="O56" s="230"/>
      <c r="P56" s="230"/>
      <c r="Q56" s="230"/>
      <c r="R56" s="230"/>
      <c r="S56" s="230"/>
      <c r="T56" s="230"/>
      <c r="U56" s="230"/>
      <c r="V56" s="230"/>
      <c r="W56" s="230"/>
      <c r="X56" s="230"/>
      <c r="Y56" s="230"/>
      <c r="Z56" s="230"/>
    </row>
    <row r="57" ht="13.5" customHeight="1">
      <c r="A57" s="241" t="s">
        <v>982</v>
      </c>
      <c r="B57" s="239" t="s">
        <v>983</v>
      </c>
      <c r="C57" s="248">
        <v>22000.0</v>
      </c>
      <c r="D57" s="239">
        <f t="shared" si="10"/>
        <v>5172</v>
      </c>
      <c r="E57" s="249">
        <f t="shared" si="11"/>
        <v>0.2350909091</v>
      </c>
      <c r="F57" s="239">
        <f t="shared" si="12"/>
        <v>5490.333333</v>
      </c>
      <c r="G57" s="249">
        <f t="shared" si="13"/>
        <v>0.2495606061</v>
      </c>
      <c r="H57" s="239">
        <f t="shared" ref="H57:I57" si="18">AVERAGE($D$38:$D$49)</f>
        <v>5925.333333</v>
      </c>
      <c r="I57" s="239">
        <f t="shared" si="18"/>
        <v>5925.333333</v>
      </c>
      <c r="J57" s="249">
        <f t="shared" si="15"/>
        <v>0.2693333333</v>
      </c>
      <c r="K57" s="250"/>
      <c r="L57" s="230"/>
      <c r="M57" s="230"/>
      <c r="N57" s="230"/>
      <c r="O57" s="230"/>
      <c r="P57" s="230"/>
      <c r="Q57" s="230"/>
      <c r="R57" s="230"/>
      <c r="S57" s="230"/>
      <c r="T57" s="230"/>
      <c r="U57" s="230"/>
      <c r="V57" s="230"/>
      <c r="W57" s="230"/>
      <c r="X57" s="230"/>
      <c r="Y57" s="230"/>
      <c r="Z57" s="230"/>
    </row>
    <row r="58" ht="13.5" customHeight="1">
      <c r="A58" s="230"/>
      <c r="B58" s="230"/>
      <c r="C58" s="230"/>
      <c r="D58" s="230"/>
      <c r="E58" s="230"/>
      <c r="F58" s="230"/>
      <c r="G58" s="230"/>
      <c r="H58" s="230"/>
      <c r="I58" s="230"/>
      <c r="J58" s="230"/>
      <c r="K58" s="230"/>
      <c r="L58" s="230"/>
      <c r="M58" s="230"/>
      <c r="N58" s="230"/>
      <c r="O58" s="230"/>
      <c r="P58" s="230"/>
      <c r="Q58" s="230"/>
      <c r="R58" s="230"/>
      <c r="S58" s="230"/>
      <c r="T58" s="230"/>
      <c r="U58" s="230"/>
      <c r="V58" s="230"/>
      <c r="W58" s="230"/>
      <c r="X58" s="230"/>
      <c r="Y58" s="230"/>
      <c r="Z58" s="230"/>
    </row>
    <row r="59" ht="13.5" customHeight="1">
      <c r="A59" s="230"/>
      <c r="B59" s="230"/>
      <c r="C59" s="230"/>
      <c r="D59" s="230"/>
      <c r="E59" s="230"/>
      <c r="F59" s="230"/>
      <c r="G59" s="230"/>
      <c r="H59" s="230"/>
      <c r="I59" s="230"/>
      <c r="J59" s="230"/>
      <c r="K59" s="230"/>
      <c r="L59" s="230"/>
      <c r="M59" s="230"/>
      <c r="N59" s="230"/>
      <c r="O59" s="230"/>
      <c r="P59" s="230"/>
      <c r="Q59" s="230"/>
      <c r="R59" s="230"/>
      <c r="S59" s="230"/>
      <c r="T59" s="230"/>
      <c r="U59" s="230"/>
      <c r="V59" s="230"/>
      <c r="W59" s="230"/>
      <c r="X59" s="230"/>
      <c r="Y59" s="230"/>
      <c r="Z59" s="230"/>
    </row>
    <row r="60" ht="13.5" customHeight="1">
      <c r="A60" s="230"/>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row>
    <row r="61" ht="13.5" customHeight="1">
      <c r="A61" s="230"/>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row>
    <row r="62" ht="13.5" customHeight="1">
      <c r="A62" s="230"/>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row>
    <row r="63" ht="13.5" customHeight="1">
      <c r="A63" s="230"/>
      <c r="B63" s="230"/>
      <c r="C63" s="230"/>
      <c r="D63" s="230"/>
      <c r="E63" s="230"/>
      <c r="F63" s="230"/>
      <c r="G63" s="230"/>
      <c r="H63" s="230"/>
      <c r="I63" s="230"/>
      <c r="J63" s="230"/>
      <c r="K63" s="230"/>
      <c r="L63" s="230"/>
      <c r="M63" s="230"/>
      <c r="N63" s="230"/>
      <c r="O63" s="230"/>
      <c r="P63" s="230"/>
      <c r="Q63" s="230"/>
      <c r="R63" s="230"/>
      <c r="S63" s="230"/>
      <c r="T63" s="230"/>
      <c r="U63" s="230"/>
      <c r="V63" s="230"/>
      <c r="W63" s="230"/>
      <c r="X63" s="230"/>
      <c r="Y63" s="230"/>
      <c r="Z63" s="230"/>
    </row>
    <row r="64" ht="13.5" customHeight="1">
      <c r="A64" s="230"/>
      <c r="B64" s="230"/>
      <c r="C64" s="230"/>
      <c r="D64" s="230"/>
      <c r="E64" s="230"/>
      <c r="F64" s="230"/>
      <c r="G64" s="230"/>
      <c r="H64" s="230"/>
      <c r="I64" s="230"/>
      <c r="J64" s="230"/>
      <c r="K64" s="230"/>
      <c r="L64" s="230"/>
      <c r="M64" s="230"/>
      <c r="N64" s="230"/>
      <c r="O64" s="230"/>
      <c r="P64" s="230"/>
      <c r="Q64" s="230"/>
      <c r="R64" s="230"/>
      <c r="S64" s="230"/>
      <c r="T64" s="230"/>
      <c r="U64" s="230"/>
      <c r="V64" s="230"/>
      <c r="W64" s="230"/>
      <c r="X64" s="230"/>
      <c r="Y64" s="230"/>
      <c r="Z64" s="230"/>
    </row>
    <row r="65" ht="13.5" customHeight="1">
      <c r="A65" s="230"/>
      <c r="B65" s="230"/>
      <c r="C65" s="230"/>
      <c r="D65" s="230"/>
      <c r="E65" s="230"/>
      <c r="F65" s="230"/>
      <c r="G65" s="230"/>
      <c r="H65" s="230"/>
      <c r="I65" s="230"/>
      <c r="J65" s="230"/>
      <c r="K65" s="230"/>
      <c r="L65" s="230"/>
      <c r="M65" s="230"/>
      <c r="N65" s="230"/>
      <c r="O65" s="230"/>
      <c r="P65" s="230"/>
      <c r="Q65" s="230"/>
      <c r="R65" s="230"/>
      <c r="S65" s="230"/>
      <c r="T65" s="230"/>
      <c r="U65" s="230"/>
      <c r="V65" s="230"/>
      <c r="W65" s="230"/>
      <c r="X65" s="230"/>
      <c r="Y65" s="230"/>
      <c r="Z65" s="230"/>
    </row>
    <row r="66" ht="13.5" customHeight="1">
      <c r="A66" s="230"/>
      <c r="B66" s="230"/>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row>
    <row r="67" ht="13.5" customHeight="1">
      <c r="A67" s="230"/>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row>
    <row r="68" ht="13.5" customHeight="1">
      <c r="A68" s="230"/>
      <c r="B68" s="230"/>
      <c r="C68" s="230"/>
      <c r="D68" s="230"/>
      <c r="E68" s="230"/>
      <c r="F68" s="230"/>
      <c r="G68" s="230"/>
      <c r="H68" s="230"/>
      <c r="I68" s="230"/>
      <c r="J68" s="230"/>
      <c r="K68" s="230"/>
      <c r="L68" s="230"/>
      <c r="M68" s="230"/>
      <c r="N68" s="230"/>
      <c r="O68" s="230"/>
      <c r="P68" s="230"/>
      <c r="Q68" s="230"/>
      <c r="R68" s="230"/>
      <c r="S68" s="230"/>
      <c r="T68" s="230"/>
      <c r="U68" s="230"/>
      <c r="V68" s="230"/>
      <c r="W68" s="230"/>
      <c r="X68" s="230"/>
      <c r="Y68" s="230"/>
      <c r="Z68" s="230"/>
    </row>
    <row r="69" ht="13.5" customHeight="1">
      <c r="A69" s="230"/>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row>
    <row r="70" ht="13.5" customHeight="1">
      <c r="A70" s="230"/>
      <c r="B70" s="230"/>
      <c r="C70" s="230"/>
      <c r="D70" s="230"/>
      <c r="E70" s="230"/>
      <c r="F70" s="230"/>
      <c r="G70" s="230"/>
      <c r="H70" s="230"/>
      <c r="I70" s="230"/>
      <c r="J70" s="230"/>
      <c r="K70" s="230"/>
      <c r="L70" s="230"/>
      <c r="M70" s="230"/>
      <c r="N70" s="230"/>
      <c r="O70" s="230"/>
      <c r="P70" s="230"/>
      <c r="Q70" s="230"/>
      <c r="R70" s="230"/>
      <c r="S70" s="230"/>
      <c r="T70" s="230"/>
      <c r="U70" s="230"/>
      <c r="V70" s="230"/>
      <c r="W70" s="230"/>
      <c r="X70" s="230"/>
      <c r="Y70" s="230"/>
      <c r="Z70" s="230"/>
    </row>
    <row r="71" ht="13.5" customHeight="1">
      <c r="A71" s="230"/>
      <c r="B71" s="230"/>
      <c r="C71" s="230"/>
      <c r="D71" s="230"/>
      <c r="E71" s="230"/>
      <c r="F71" s="230"/>
      <c r="G71" s="230"/>
      <c r="H71" s="230"/>
      <c r="I71" s="230"/>
      <c r="J71" s="230"/>
      <c r="K71" s="230"/>
      <c r="L71" s="230"/>
      <c r="M71" s="230"/>
      <c r="N71" s="230"/>
      <c r="O71" s="230"/>
      <c r="P71" s="230"/>
      <c r="Q71" s="230"/>
      <c r="R71" s="230"/>
      <c r="S71" s="230"/>
      <c r="T71" s="230"/>
      <c r="U71" s="230"/>
      <c r="V71" s="230"/>
      <c r="W71" s="230"/>
      <c r="X71" s="230"/>
      <c r="Y71" s="230"/>
      <c r="Z71" s="230"/>
    </row>
    <row r="72" ht="13.5" customHeight="1">
      <c r="A72" s="230"/>
      <c r="B72" s="230"/>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row>
    <row r="73" ht="13.5" customHeight="1">
      <c r="A73" s="230"/>
      <c r="B73" s="230"/>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row>
    <row r="74" ht="13.5" customHeight="1">
      <c r="A74" s="230"/>
      <c r="B74" s="230"/>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row>
    <row r="75" ht="13.5" customHeight="1">
      <c r="A75" s="230"/>
      <c r="B75" s="230"/>
      <c r="C75" s="230"/>
      <c r="D75" s="230"/>
      <c r="E75" s="230"/>
      <c r="F75" s="230"/>
      <c r="G75" s="230"/>
      <c r="H75" s="230"/>
      <c r="I75" s="230"/>
      <c r="J75" s="230"/>
      <c r="K75" s="230"/>
      <c r="L75" s="230"/>
      <c r="M75" s="230"/>
      <c r="N75" s="230"/>
      <c r="O75" s="230"/>
      <c r="P75" s="230"/>
      <c r="Q75" s="230"/>
      <c r="R75" s="230"/>
      <c r="S75" s="230"/>
      <c r="T75" s="230"/>
      <c r="U75" s="230"/>
      <c r="V75" s="230"/>
      <c r="W75" s="230"/>
      <c r="X75" s="230"/>
      <c r="Y75" s="230"/>
      <c r="Z75" s="230"/>
    </row>
    <row r="76" ht="13.5" customHeight="1">
      <c r="A76" s="230"/>
      <c r="B76" s="230"/>
      <c r="C76" s="230"/>
      <c r="D76" s="230"/>
      <c r="E76" s="230"/>
      <c r="F76" s="230"/>
      <c r="G76" s="230"/>
      <c r="H76" s="230"/>
      <c r="I76" s="230"/>
      <c r="J76" s="230"/>
      <c r="K76" s="230"/>
      <c r="L76" s="230"/>
      <c r="M76" s="230"/>
      <c r="N76" s="230"/>
      <c r="O76" s="230"/>
      <c r="P76" s="230"/>
      <c r="Q76" s="230"/>
      <c r="R76" s="230"/>
      <c r="S76" s="230"/>
      <c r="T76" s="230"/>
      <c r="U76" s="230"/>
      <c r="V76" s="230"/>
      <c r="W76" s="230"/>
      <c r="X76" s="230"/>
      <c r="Y76" s="230"/>
      <c r="Z76" s="230"/>
    </row>
    <row r="77" ht="13.5" customHeight="1">
      <c r="A77" s="230"/>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row>
    <row r="78" ht="13.5" customHeight="1">
      <c r="A78" s="230"/>
      <c r="B78" s="230"/>
      <c r="C78" s="230"/>
      <c r="D78" s="230"/>
      <c r="E78" s="230"/>
      <c r="F78" s="230"/>
      <c r="G78" s="230"/>
      <c r="H78" s="230"/>
      <c r="I78" s="230"/>
      <c r="J78" s="230"/>
      <c r="K78" s="230"/>
      <c r="L78" s="230"/>
      <c r="M78" s="230"/>
      <c r="N78" s="230"/>
      <c r="O78" s="230"/>
      <c r="P78" s="230"/>
      <c r="Q78" s="230"/>
      <c r="R78" s="230"/>
      <c r="S78" s="230"/>
      <c r="T78" s="230"/>
      <c r="U78" s="230"/>
      <c r="V78" s="230"/>
      <c r="W78" s="230"/>
      <c r="X78" s="230"/>
      <c r="Y78" s="230"/>
      <c r="Z78" s="230"/>
    </row>
    <row r="79" ht="13.5" customHeight="1">
      <c r="A79" s="230"/>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row>
    <row r="80" ht="13.5" customHeight="1">
      <c r="A80" s="230"/>
      <c r="B80" s="230"/>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row>
    <row r="81" ht="13.5" customHeight="1">
      <c r="A81" s="230"/>
      <c r="B81" s="230"/>
      <c r="C81" s="230"/>
      <c r="D81" s="230"/>
      <c r="E81" s="230"/>
      <c r="F81" s="230"/>
      <c r="G81" s="230"/>
      <c r="H81" s="230"/>
      <c r="I81" s="230"/>
      <c r="J81" s="230"/>
      <c r="K81" s="230"/>
      <c r="L81" s="230"/>
      <c r="M81" s="230"/>
      <c r="N81" s="230"/>
      <c r="O81" s="230"/>
      <c r="P81" s="230"/>
      <c r="Q81" s="230"/>
      <c r="R81" s="230"/>
      <c r="S81" s="230"/>
      <c r="T81" s="230"/>
      <c r="U81" s="230"/>
      <c r="V81" s="230"/>
      <c r="W81" s="230"/>
      <c r="X81" s="230"/>
      <c r="Y81" s="230"/>
      <c r="Z81" s="230"/>
    </row>
    <row r="82" ht="13.5" customHeight="1">
      <c r="A82" s="230"/>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row>
    <row r="83" ht="13.5" customHeight="1">
      <c r="A83" s="230"/>
      <c r="B83" s="230"/>
      <c r="C83" s="230"/>
      <c r="D83" s="230"/>
      <c r="E83" s="230"/>
      <c r="F83" s="230"/>
      <c r="G83" s="230"/>
      <c r="H83" s="230"/>
      <c r="I83" s="230"/>
      <c r="J83" s="230"/>
      <c r="K83" s="230"/>
      <c r="L83" s="230"/>
      <c r="M83" s="230"/>
      <c r="N83" s="230"/>
      <c r="O83" s="230"/>
      <c r="P83" s="230"/>
      <c r="Q83" s="230"/>
      <c r="R83" s="230"/>
      <c r="S83" s="230"/>
      <c r="T83" s="230"/>
      <c r="U83" s="230"/>
      <c r="V83" s="230"/>
      <c r="W83" s="230"/>
      <c r="X83" s="230"/>
      <c r="Y83" s="230"/>
      <c r="Z83" s="230"/>
    </row>
    <row r="84" ht="13.5" customHeight="1">
      <c r="A84" s="230"/>
      <c r="B84" s="230"/>
      <c r="C84" s="230"/>
      <c r="D84" s="230"/>
      <c r="E84" s="230"/>
      <c r="F84" s="230"/>
      <c r="G84" s="230"/>
      <c r="H84" s="230"/>
      <c r="I84" s="230"/>
      <c r="J84" s="230"/>
      <c r="K84" s="230"/>
      <c r="L84" s="230"/>
      <c r="M84" s="230"/>
      <c r="N84" s="230"/>
      <c r="O84" s="230"/>
      <c r="P84" s="230"/>
      <c r="Q84" s="230"/>
      <c r="R84" s="230"/>
      <c r="S84" s="230"/>
      <c r="T84" s="230"/>
      <c r="U84" s="230"/>
      <c r="V84" s="230"/>
      <c r="W84" s="230"/>
      <c r="X84" s="230"/>
      <c r="Y84" s="230"/>
      <c r="Z84" s="230"/>
    </row>
    <row r="85" ht="13.5" customHeight="1">
      <c r="A85" s="230"/>
      <c r="B85" s="230"/>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row>
    <row r="86" ht="13.5" customHeight="1">
      <c r="A86" s="230"/>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row>
    <row r="87" ht="13.5" customHeight="1">
      <c r="A87" s="230"/>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row>
    <row r="88" ht="13.5" customHeight="1">
      <c r="A88" s="230"/>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row>
    <row r="89" ht="13.5" customHeight="1">
      <c r="A89" s="230"/>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row>
    <row r="90" ht="13.5" customHeight="1">
      <c r="A90" s="230"/>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row>
    <row r="91" ht="13.5" customHeight="1">
      <c r="A91" s="230"/>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row>
    <row r="92" ht="13.5" customHeight="1">
      <c r="A92" s="230"/>
      <c r="B92" s="230"/>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row>
    <row r="93" ht="13.5" customHeight="1">
      <c r="A93" s="230"/>
      <c r="B93" s="230"/>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row>
    <row r="94" ht="13.5" customHeight="1">
      <c r="A94" s="230"/>
      <c r="B94" s="230"/>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row>
    <row r="95" ht="13.5" customHeight="1">
      <c r="A95" s="230"/>
      <c r="B95" s="230"/>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row>
    <row r="96" ht="13.5" customHeight="1">
      <c r="A96" s="230"/>
      <c r="B96" s="230"/>
      <c r="C96" s="230"/>
      <c r="D96" s="230"/>
      <c r="E96" s="230"/>
      <c r="F96" s="230"/>
      <c r="G96" s="230"/>
      <c r="H96" s="230"/>
      <c r="I96" s="230"/>
      <c r="J96" s="230"/>
      <c r="K96" s="230"/>
      <c r="L96" s="230"/>
      <c r="M96" s="230"/>
      <c r="N96" s="230"/>
      <c r="O96" s="230"/>
      <c r="P96" s="230"/>
      <c r="Q96" s="230"/>
      <c r="R96" s="230"/>
      <c r="S96" s="230"/>
      <c r="T96" s="230"/>
      <c r="U96" s="230"/>
      <c r="V96" s="230"/>
      <c r="W96" s="230"/>
      <c r="X96" s="230"/>
      <c r="Y96" s="230"/>
      <c r="Z96" s="230"/>
    </row>
    <row r="97" ht="13.5" customHeight="1">
      <c r="A97" s="230"/>
      <c r="B97" s="230"/>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row>
    <row r="98" ht="13.5" customHeight="1">
      <c r="A98" s="230"/>
      <c r="B98" s="230"/>
      <c r="C98" s="230"/>
      <c r="D98" s="230"/>
      <c r="E98" s="230"/>
      <c r="F98" s="230"/>
      <c r="G98" s="230"/>
      <c r="H98" s="230"/>
      <c r="I98" s="230"/>
      <c r="J98" s="230"/>
      <c r="K98" s="230"/>
      <c r="L98" s="230"/>
      <c r="M98" s="230"/>
      <c r="N98" s="230"/>
      <c r="O98" s="230"/>
      <c r="P98" s="230"/>
      <c r="Q98" s="230"/>
      <c r="R98" s="230"/>
      <c r="S98" s="230"/>
      <c r="T98" s="230"/>
      <c r="U98" s="230"/>
      <c r="V98" s="230"/>
      <c r="W98" s="230"/>
      <c r="X98" s="230"/>
      <c r="Y98" s="230"/>
      <c r="Z98" s="230"/>
    </row>
    <row r="99" ht="13.5" customHeight="1">
      <c r="A99" s="230"/>
      <c r="B99" s="230"/>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row>
    <row r="100" ht="13.5" customHeight="1">
      <c r="A100" s="230"/>
      <c r="B100" s="230"/>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row>
    <row r="101" ht="13.5" customHeight="1">
      <c r="A101" s="230"/>
      <c r="B101" s="230"/>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row>
    <row r="102" ht="13.5" customHeight="1">
      <c r="A102" s="230"/>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row>
    <row r="103" ht="13.5" customHeight="1">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row>
    <row r="104" ht="13.5" customHeight="1">
      <c r="A104" s="230"/>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row>
    <row r="105" ht="13.5" customHeight="1">
      <c r="A105" s="230"/>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row>
    <row r="106" ht="13.5" customHeight="1">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row>
    <row r="107" ht="13.5" customHeight="1">
      <c r="A107" s="230"/>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row>
    <row r="108" ht="13.5" customHeight="1">
      <c r="A108" s="230"/>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row>
    <row r="109" ht="13.5" customHeight="1">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row>
    <row r="110" ht="13.5" customHeight="1">
      <c r="A110" s="230"/>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row>
    <row r="111" ht="13.5" customHeight="1">
      <c r="A111" s="230"/>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row>
    <row r="112" ht="13.5" customHeight="1">
      <c r="A112" s="230"/>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row>
    <row r="113" ht="13.5" customHeight="1">
      <c r="A113" s="230"/>
      <c r="B113" s="230"/>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row>
    <row r="114" ht="13.5" customHeight="1">
      <c r="A114" s="230"/>
      <c r="B114" s="230"/>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row>
    <row r="115" ht="13.5" customHeight="1">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row>
    <row r="116" ht="13.5" customHeight="1">
      <c r="A116" s="230"/>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row>
    <row r="117" ht="13.5" customHeight="1">
      <c r="A117" s="230"/>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row>
    <row r="118" ht="13.5" customHeight="1">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row>
    <row r="119" ht="13.5" customHeight="1">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row>
    <row r="120" ht="13.5" customHeight="1">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row>
    <row r="121" ht="13.5" customHeight="1">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row>
    <row r="122" ht="13.5" customHeight="1">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row>
    <row r="123" ht="13.5" customHeight="1">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row>
    <row r="124" ht="13.5" customHeight="1">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row>
    <row r="125" ht="13.5" customHeight="1">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row>
    <row r="126" ht="13.5" customHeight="1">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row>
    <row r="127" ht="13.5" customHeight="1">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row>
    <row r="128" ht="13.5" customHeight="1">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row>
    <row r="129" ht="13.5" customHeight="1">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row>
    <row r="130" ht="13.5" customHeight="1">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row>
    <row r="131" ht="13.5" customHeight="1">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row>
    <row r="132" ht="13.5" customHeight="1">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row>
    <row r="133" ht="13.5" customHeight="1">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row>
    <row r="134" ht="13.5" customHeight="1">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row>
    <row r="135" ht="13.5" customHeight="1">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row>
    <row r="136" ht="13.5" customHeight="1">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row>
    <row r="137" ht="13.5" customHeight="1">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row>
    <row r="138" ht="13.5" customHeight="1">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row>
    <row r="139" ht="13.5" customHeight="1">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row>
    <row r="140" ht="13.5" customHeight="1">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row>
    <row r="141" ht="13.5" customHeight="1">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row>
    <row r="142" ht="13.5" customHeight="1">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row>
    <row r="143" ht="13.5" customHeight="1">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row>
    <row r="144" ht="13.5" customHeight="1">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row>
    <row r="145" ht="13.5" customHeight="1">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row>
    <row r="146" ht="13.5" customHeight="1">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row>
    <row r="147" ht="13.5" customHeight="1">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row>
    <row r="148" ht="13.5" customHeight="1">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row>
    <row r="149" ht="13.5" customHeight="1">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row>
    <row r="150" ht="13.5" customHeight="1">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row>
    <row r="151" ht="13.5" customHeight="1">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row>
    <row r="152" ht="13.5" customHeight="1">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row>
    <row r="153" ht="13.5" customHeight="1">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row>
    <row r="154" ht="13.5" customHeight="1">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row>
    <row r="155" ht="13.5" customHeight="1">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row>
    <row r="156" ht="13.5" customHeight="1">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row>
    <row r="157" ht="13.5" customHeight="1">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row>
    <row r="158" ht="13.5" customHeight="1">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row>
    <row r="159" ht="13.5" customHeight="1">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row>
    <row r="160" ht="13.5" customHeight="1">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row>
    <row r="161" ht="13.5" customHeight="1">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row>
    <row r="162" ht="13.5" customHeight="1">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row>
    <row r="163" ht="13.5" customHeight="1">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row>
    <row r="164" ht="13.5" customHeight="1">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row>
    <row r="165" ht="13.5" customHeight="1">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row>
    <row r="166" ht="13.5" customHeight="1">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row>
    <row r="167" ht="13.5" customHeight="1">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row>
    <row r="168" ht="13.5" customHeight="1">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row>
    <row r="169" ht="13.5" customHeight="1">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row>
    <row r="170" ht="13.5" customHeight="1">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row>
    <row r="171" ht="13.5" customHeight="1">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row>
    <row r="172" ht="13.5" customHeight="1">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row>
    <row r="173" ht="13.5" customHeight="1">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row>
    <row r="174" ht="13.5" customHeight="1">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row>
    <row r="175" ht="13.5" customHeight="1">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row>
    <row r="176" ht="13.5" customHeight="1">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row>
    <row r="177" ht="13.5" customHeight="1">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row>
    <row r="178" ht="13.5" customHeight="1">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row>
    <row r="179" ht="13.5" customHeight="1">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row>
    <row r="180" ht="13.5" customHeight="1">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row>
    <row r="181" ht="13.5" customHeight="1">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row>
    <row r="182" ht="13.5" customHeight="1">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row>
    <row r="183" ht="13.5" customHeight="1">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row>
    <row r="184" ht="13.5" customHeight="1">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row>
    <row r="185" ht="13.5" customHeight="1">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row>
    <row r="186" ht="13.5" customHeight="1">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row>
    <row r="187" ht="13.5" customHeight="1">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row>
    <row r="188" ht="13.5" customHeight="1">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row>
    <row r="189" ht="13.5" customHeight="1">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row>
    <row r="190" ht="13.5" customHeight="1">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row>
    <row r="191" ht="13.5" customHeight="1">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row>
    <row r="192" ht="13.5" customHeight="1">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row>
    <row r="193" ht="13.5" customHeight="1">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row>
    <row r="194" ht="13.5" customHeight="1">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row>
    <row r="195" ht="13.5" customHeight="1">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row>
    <row r="196" ht="13.5" customHeight="1">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row>
    <row r="197" ht="13.5" customHeight="1">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row>
    <row r="198" ht="13.5" customHeight="1">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row>
    <row r="199" ht="13.5" customHeight="1">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row>
    <row r="200" ht="13.5" customHeight="1">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row>
    <row r="201" ht="13.5" customHeight="1">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row>
    <row r="202" ht="13.5" customHeight="1">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row>
    <row r="203" ht="13.5" customHeight="1">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row>
    <row r="204" ht="13.5" customHeight="1">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row>
    <row r="205" ht="13.5" customHeight="1">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row>
    <row r="206" ht="13.5" customHeight="1">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row>
    <row r="207" ht="13.5" customHeight="1">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row>
    <row r="208" ht="13.5" customHeight="1">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row>
    <row r="209" ht="13.5" customHeight="1">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row>
    <row r="210" ht="13.5" customHeight="1">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row>
    <row r="211" ht="13.5" customHeight="1">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row>
    <row r="212" ht="13.5" customHeight="1">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row>
    <row r="213" ht="13.5" customHeight="1">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row>
    <row r="214" ht="13.5" customHeight="1">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row>
    <row r="215" ht="13.5" customHeight="1">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row>
    <row r="216" ht="13.5" customHeight="1">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row>
    <row r="217" ht="13.5" customHeight="1">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row>
    <row r="218" ht="13.5" customHeight="1">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row>
    <row r="219" ht="13.5" customHeight="1">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row>
    <row r="220" ht="13.5" customHeight="1">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row>
    <row r="221" ht="13.5" customHeight="1">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row>
    <row r="222" ht="13.5" customHeight="1">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row>
    <row r="223" ht="13.5" customHeight="1">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row>
    <row r="224" ht="13.5" customHeight="1">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row>
    <row r="225" ht="13.5" customHeight="1">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row>
    <row r="226" ht="13.5" customHeight="1">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row>
    <row r="227" ht="13.5" customHeight="1">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row>
    <row r="228" ht="13.5" customHeight="1">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row>
    <row r="229" ht="13.5" customHeight="1">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row>
    <row r="230" ht="13.5" customHeight="1">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row>
    <row r="231" ht="13.5" customHeight="1">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row>
    <row r="232" ht="13.5" customHeight="1">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row>
    <row r="233" ht="13.5" customHeight="1">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row>
    <row r="234" ht="13.5" customHeight="1">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row>
    <row r="235" ht="13.5" customHeight="1">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row>
    <row r="236" ht="13.5" customHeight="1">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row>
    <row r="237" ht="13.5" customHeight="1">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row>
    <row r="238" ht="13.5" customHeight="1">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row>
    <row r="239" ht="13.5" customHeight="1">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row>
    <row r="240" ht="13.5" customHeight="1">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row>
    <row r="241" ht="13.5" customHeight="1">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row>
    <row r="242" ht="13.5" customHeight="1">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row>
    <row r="243" ht="13.5" customHeight="1">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row>
    <row r="244" ht="13.5" customHeight="1">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row>
    <row r="245" ht="13.5" customHeight="1">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row>
    <row r="246" ht="13.5" customHeight="1">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row>
    <row r="247" ht="13.5" customHeight="1">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row>
    <row r="248" ht="13.5" customHeight="1">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row>
    <row r="249" ht="13.5" customHeight="1">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row>
    <row r="250" ht="13.5" customHeight="1">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row>
    <row r="251" ht="13.5" customHeight="1">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row>
    <row r="252" ht="13.5" customHeight="1">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row>
    <row r="253" ht="13.5" customHeight="1">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row>
    <row r="254" ht="13.5" customHeight="1">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row>
    <row r="255" ht="13.5" customHeight="1">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row>
    <row r="256" ht="13.5" customHeight="1">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row>
    <row r="257" ht="13.5" customHeight="1">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N1"/>
    <mergeCell ref="A2:N2"/>
    <mergeCell ref="A4:H4"/>
    <mergeCell ref="F5:H5"/>
    <mergeCell ref="F6:H6"/>
    <mergeCell ref="F7:H7"/>
    <mergeCell ref="F8:H8"/>
    <mergeCell ref="F9:H9"/>
    <mergeCell ref="F10:H10"/>
    <mergeCell ref="F11:H11"/>
    <mergeCell ref="F12:H12"/>
    <mergeCell ref="F13:H13"/>
    <mergeCell ref="A15:K15"/>
    <mergeCell ref="J16:K16"/>
    <mergeCell ref="F32:G32"/>
    <mergeCell ref="F33:G33"/>
    <mergeCell ref="F34:G34"/>
    <mergeCell ref="A36:H36"/>
    <mergeCell ref="A51:J51"/>
    <mergeCell ref="A21:G21"/>
    <mergeCell ref="F22:G22"/>
    <mergeCell ref="F25:G25"/>
    <mergeCell ref="F26:G26"/>
    <mergeCell ref="F27:G27"/>
    <mergeCell ref="F28:G28"/>
    <mergeCell ref="F31:G31"/>
  </mergeCells>
  <conditionalFormatting sqref="C23:E34">
    <cfRule type="colorScale" priority="1">
      <colorScale>
        <cfvo type="min"/>
        <cfvo type="percentile" val="50"/>
        <cfvo type="max"/>
        <color rgb="FFE2F0D9"/>
        <color rgb="FFFFF2CC"/>
        <color rgb="FFF4CCCC"/>
      </colorScale>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48.71"/>
    <col customWidth="1" min="3" max="3" width="50.86"/>
    <col customWidth="1" min="4" max="4" width="27.86"/>
    <col customWidth="1" min="5" max="5" width="18.29"/>
    <col customWidth="1" min="6" max="7" width="12.0"/>
    <col customWidth="1" min="8" max="8" width="46.43"/>
    <col customWidth="1" min="9" max="9" width="48.43"/>
    <col customWidth="1" min="10" max="10" width="29.71"/>
    <col customWidth="1" min="11" max="11" width="41.29"/>
    <col customWidth="1" min="12" max="12" width="22.0"/>
    <col customWidth="1" min="13" max="13" width="15.57"/>
    <col customWidth="1" min="14" max="26" width="9.0"/>
  </cols>
  <sheetData>
    <row r="1">
      <c r="A1" s="171" t="s">
        <v>1205</v>
      </c>
      <c r="B1" s="4"/>
      <c r="C1" s="4"/>
      <c r="D1" s="4"/>
      <c r="E1" s="4"/>
      <c r="F1" s="4"/>
      <c r="G1" s="4"/>
      <c r="H1" s="4"/>
      <c r="I1" s="4"/>
      <c r="J1" s="4"/>
      <c r="K1" s="4"/>
      <c r="L1" s="4"/>
      <c r="M1" s="6"/>
      <c r="N1" s="2"/>
      <c r="O1" s="2"/>
      <c r="P1" s="2"/>
      <c r="Q1" s="2"/>
      <c r="R1" s="2"/>
      <c r="S1" s="2"/>
      <c r="T1" s="2"/>
      <c r="U1" s="2"/>
      <c r="V1" s="2"/>
      <c r="W1" s="2"/>
      <c r="X1" s="2"/>
      <c r="Y1" s="2"/>
      <c r="Z1" s="2"/>
    </row>
    <row r="2">
      <c r="A2" s="172" t="s">
        <v>1212</v>
      </c>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74" t="s">
        <v>1213</v>
      </c>
      <c r="B4" s="39"/>
      <c r="C4" s="39"/>
      <c r="D4" s="39"/>
      <c r="E4" s="39"/>
      <c r="F4" s="39"/>
      <c r="G4" s="40"/>
      <c r="H4" s="188"/>
      <c r="I4" s="188"/>
      <c r="J4" s="188"/>
      <c r="K4" s="188"/>
      <c r="L4" s="188"/>
      <c r="M4" s="188"/>
      <c r="N4" s="2"/>
      <c r="O4" s="2"/>
      <c r="P4" s="2"/>
      <c r="Q4" s="2"/>
      <c r="R4" s="2"/>
      <c r="S4" s="2"/>
      <c r="T4" s="2"/>
      <c r="U4" s="2"/>
      <c r="V4" s="2"/>
      <c r="W4" s="2"/>
      <c r="X4" s="2"/>
      <c r="Y4" s="2"/>
      <c r="Z4" s="2"/>
    </row>
    <row r="5">
      <c r="A5" s="175" t="s">
        <v>1215</v>
      </c>
      <c r="B5" s="175" t="s">
        <v>1216</v>
      </c>
      <c r="C5" s="175" t="s">
        <v>1217</v>
      </c>
      <c r="D5" s="175" t="s">
        <v>1218</v>
      </c>
      <c r="E5" s="175" t="s">
        <v>1219</v>
      </c>
      <c r="F5" s="176" t="s">
        <v>1001</v>
      </c>
      <c r="G5" s="40"/>
      <c r="H5" s="2"/>
      <c r="I5" s="2"/>
      <c r="J5" s="2"/>
      <c r="K5" s="2"/>
      <c r="L5" s="2"/>
      <c r="M5" s="2"/>
      <c r="N5" s="2"/>
      <c r="O5" s="2"/>
      <c r="P5" s="2"/>
      <c r="Q5" s="2"/>
      <c r="R5" s="2"/>
      <c r="S5" s="2"/>
      <c r="T5" s="2"/>
      <c r="U5" s="2"/>
      <c r="V5" s="2"/>
      <c r="W5" s="2"/>
      <c r="X5" s="2"/>
      <c r="Y5" s="2"/>
      <c r="Z5" s="2"/>
    </row>
    <row r="6">
      <c r="A6" s="16" t="s">
        <v>1221</v>
      </c>
      <c r="B6" s="16" t="s">
        <v>1222</v>
      </c>
      <c r="C6" s="16" t="s">
        <v>1223</v>
      </c>
      <c r="D6" s="16" t="s">
        <v>1224</v>
      </c>
      <c r="E6" s="16" t="s">
        <v>1225</v>
      </c>
      <c r="F6" s="252" t="s">
        <v>1226</v>
      </c>
      <c r="G6" s="40"/>
      <c r="H6" s="2"/>
      <c r="I6" s="2"/>
      <c r="J6" s="2"/>
      <c r="K6" s="2"/>
      <c r="L6" s="2"/>
      <c r="M6" s="2"/>
      <c r="N6" s="2"/>
      <c r="O6" s="2"/>
      <c r="P6" s="2"/>
      <c r="Q6" s="2"/>
      <c r="R6" s="2"/>
      <c r="S6" s="2"/>
      <c r="T6" s="2"/>
      <c r="U6" s="2"/>
      <c r="V6" s="2"/>
      <c r="W6" s="2"/>
      <c r="X6" s="2"/>
      <c r="Y6" s="2"/>
      <c r="Z6" s="2"/>
    </row>
    <row r="7">
      <c r="A7" s="16" t="s">
        <v>1228</v>
      </c>
      <c r="B7" s="16" t="s">
        <v>1229</v>
      </c>
      <c r="C7" s="16" t="s">
        <v>1230</v>
      </c>
      <c r="D7" s="16" t="s">
        <v>1231</v>
      </c>
      <c r="E7" s="16" t="s">
        <v>1232</v>
      </c>
      <c r="F7" s="252" t="s">
        <v>730</v>
      </c>
      <c r="G7" s="40"/>
      <c r="H7" s="2"/>
      <c r="I7" s="2"/>
      <c r="J7" s="2"/>
      <c r="K7" s="2"/>
      <c r="L7" s="2"/>
      <c r="M7" s="2"/>
      <c r="N7" s="2"/>
      <c r="O7" s="2"/>
      <c r="P7" s="2"/>
      <c r="Q7" s="2"/>
      <c r="R7" s="2"/>
      <c r="S7" s="2"/>
      <c r="T7" s="2"/>
      <c r="U7" s="2"/>
      <c r="V7" s="2"/>
      <c r="W7" s="2"/>
      <c r="X7" s="2"/>
      <c r="Y7" s="2"/>
      <c r="Z7" s="2"/>
    </row>
    <row r="8">
      <c r="A8" s="16" t="s">
        <v>1233</v>
      </c>
      <c r="B8" s="16" t="s">
        <v>1234</v>
      </c>
      <c r="C8" s="16"/>
      <c r="D8" s="16"/>
      <c r="E8" s="16"/>
      <c r="F8" s="252"/>
      <c r="G8" s="40"/>
      <c r="H8" s="2"/>
      <c r="I8" s="2"/>
      <c r="J8" s="2"/>
      <c r="K8" s="2"/>
      <c r="L8" s="2"/>
      <c r="M8" s="2"/>
      <c r="N8" s="2"/>
      <c r="O8" s="2"/>
      <c r="P8" s="2"/>
      <c r="Q8" s="2"/>
      <c r="R8" s="2"/>
      <c r="S8" s="2"/>
      <c r="T8" s="2"/>
      <c r="U8" s="2"/>
      <c r="V8" s="2"/>
      <c r="W8" s="2"/>
      <c r="X8" s="2"/>
      <c r="Y8" s="2"/>
      <c r="Z8" s="2"/>
    </row>
    <row r="9">
      <c r="A9" s="16" t="s">
        <v>1235</v>
      </c>
      <c r="B9" s="16" t="s">
        <v>1236</v>
      </c>
      <c r="C9" s="16" t="s">
        <v>1237</v>
      </c>
      <c r="D9" s="16" t="s">
        <v>1238</v>
      </c>
      <c r="E9" s="16" t="s">
        <v>1239</v>
      </c>
      <c r="F9" s="252"/>
      <c r="G9" s="40"/>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174" t="s">
        <v>1242</v>
      </c>
      <c r="B11" s="39"/>
      <c r="C11" s="39"/>
      <c r="D11" s="39"/>
      <c r="E11" s="39"/>
      <c r="F11" s="39"/>
      <c r="G11" s="39"/>
      <c r="H11" s="39"/>
      <c r="I11" s="39"/>
      <c r="J11" s="39"/>
      <c r="K11" s="39"/>
      <c r="L11" s="39"/>
      <c r="M11" s="40"/>
      <c r="N11" s="2"/>
      <c r="O11" s="2"/>
      <c r="P11" s="2"/>
      <c r="Q11" s="2"/>
      <c r="R11" s="2"/>
      <c r="S11" s="2"/>
      <c r="T11" s="2"/>
      <c r="U11" s="2"/>
      <c r="V11" s="2"/>
      <c r="W11" s="2"/>
      <c r="X11" s="2"/>
      <c r="Y11" s="2"/>
      <c r="Z11" s="2"/>
    </row>
    <row r="12">
      <c r="A12" s="175" t="s">
        <v>1243</v>
      </c>
      <c r="B12" s="175" t="s">
        <v>1244</v>
      </c>
      <c r="C12" s="175" t="s">
        <v>1245</v>
      </c>
      <c r="D12" s="175" t="s">
        <v>1221</v>
      </c>
      <c r="E12" s="175" t="s">
        <v>1228</v>
      </c>
      <c r="F12" s="175" t="s">
        <v>1233</v>
      </c>
      <c r="G12" s="175" t="s">
        <v>1246</v>
      </c>
      <c r="H12" s="175" t="s">
        <v>1247</v>
      </c>
      <c r="I12" s="175" t="s">
        <v>1248</v>
      </c>
      <c r="J12" s="175" t="s">
        <v>1249</v>
      </c>
      <c r="K12" s="175" t="s">
        <v>1250</v>
      </c>
      <c r="L12" s="175" t="s">
        <v>1251</v>
      </c>
      <c r="M12" s="175" t="s">
        <v>1252</v>
      </c>
      <c r="N12" s="2"/>
      <c r="O12" s="2"/>
      <c r="P12" s="2"/>
      <c r="Q12" s="2"/>
      <c r="R12" s="2"/>
      <c r="S12" s="2"/>
      <c r="T12" s="2"/>
      <c r="U12" s="2"/>
      <c r="V12" s="2"/>
      <c r="W12" s="2"/>
      <c r="X12" s="2"/>
      <c r="Y12" s="2"/>
      <c r="Z12" s="2"/>
    </row>
    <row r="13">
      <c r="A13" s="16" t="s">
        <v>1253</v>
      </c>
      <c r="B13" s="253" t="s">
        <v>1254</v>
      </c>
      <c r="C13" s="36" t="s">
        <v>1255</v>
      </c>
      <c r="D13" s="208">
        <v>4.0</v>
      </c>
      <c r="E13" s="208">
        <v>4.0</v>
      </c>
      <c r="F13" s="16">
        <f t="shared" ref="F13:F26" si="1">D13*E13</f>
        <v>16</v>
      </c>
      <c r="G13" s="16" t="str">
        <f t="shared" ref="G13:G26" si="2">IF(F13&gt;=17,"Critical",IF(F13&gt;=10,"High",IF(F13&gt;=5,"Medium","Low")))</f>
        <v>High</v>
      </c>
      <c r="H13" s="36" t="s">
        <v>1256</v>
      </c>
      <c r="I13" s="36" t="s">
        <v>1257</v>
      </c>
      <c r="J13" s="36" t="s">
        <v>1258</v>
      </c>
      <c r="K13" s="36" t="s">
        <v>1259</v>
      </c>
      <c r="L13" s="36" t="s">
        <v>1260</v>
      </c>
      <c r="M13" s="36" t="s">
        <v>1261</v>
      </c>
      <c r="N13" s="2"/>
      <c r="O13" s="2"/>
      <c r="P13" s="2"/>
      <c r="Q13" s="2"/>
      <c r="R13" s="2"/>
      <c r="S13" s="2"/>
      <c r="T13" s="2"/>
      <c r="U13" s="2"/>
      <c r="V13" s="2"/>
      <c r="W13" s="2"/>
      <c r="X13" s="2"/>
      <c r="Y13" s="2"/>
      <c r="Z13" s="2"/>
    </row>
    <row r="14">
      <c r="A14" s="16" t="s">
        <v>1262</v>
      </c>
      <c r="B14" s="253" t="s">
        <v>1263</v>
      </c>
      <c r="C14" s="36" t="s">
        <v>1264</v>
      </c>
      <c r="D14" s="208">
        <v>4.0</v>
      </c>
      <c r="E14" s="208">
        <v>4.0</v>
      </c>
      <c r="F14" s="16">
        <f t="shared" si="1"/>
        <v>16</v>
      </c>
      <c r="G14" s="16" t="str">
        <f t="shared" si="2"/>
        <v>High</v>
      </c>
      <c r="H14" s="36" t="s">
        <v>1265</v>
      </c>
      <c r="I14" s="36" t="s">
        <v>1266</v>
      </c>
      <c r="J14" s="36" t="s">
        <v>1267</v>
      </c>
      <c r="K14" s="36" t="s">
        <v>1268</v>
      </c>
      <c r="L14" s="36" t="s">
        <v>1269</v>
      </c>
      <c r="M14" s="36" t="s">
        <v>1270</v>
      </c>
      <c r="N14" s="2"/>
      <c r="O14" s="2"/>
      <c r="P14" s="2"/>
      <c r="Q14" s="2"/>
      <c r="R14" s="2"/>
      <c r="S14" s="2"/>
      <c r="T14" s="2"/>
      <c r="U14" s="2"/>
      <c r="V14" s="2"/>
      <c r="W14" s="2"/>
      <c r="X14" s="2"/>
      <c r="Y14" s="2"/>
      <c r="Z14" s="2"/>
    </row>
    <row r="15">
      <c r="A15" s="16" t="s">
        <v>1271</v>
      </c>
      <c r="B15" s="253" t="s">
        <v>1272</v>
      </c>
      <c r="C15" s="36" t="s">
        <v>1273</v>
      </c>
      <c r="D15" s="208">
        <v>3.0</v>
      </c>
      <c r="E15" s="208">
        <v>4.0</v>
      </c>
      <c r="F15" s="16">
        <f t="shared" si="1"/>
        <v>12</v>
      </c>
      <c r="G15" s="16" t="str">
        <f t="shared" si="2"/>
        <v>High</v>
      </c>
      <c r="H15" s="36" t="s">
        <v>1274</v>
      </c>
      <c r="I15" s="36" t="s">
        <v>1275</v>
      </c>
      <c r="J15" s="36" t="s">
        <v>1276</v>
      </c>
      <c r="K15" s="36" t="s">
        <v>1277</v>
      </c>
      <c r="L15" s="36" t="s">
        <v>1278</v>
      </c>
      <c r="M15" s="36" t="s">
        <v>1279</v>
      </c>
      <c r="N15" s="2"/>
      <c r="O15" s="2"/>
      <c r="P15" s="2"/>
      <c r="Q15" s="2"/>
      <c r="R15" s="2"/>
      <c r="S15" s="2"/>
      <c r="T15" s="2"/>
      <c r="U15" s="2"/>
      <c r="V15" s="2"/>
      <c r="W15" s="2"/>
      <c r="X15" s="2"/>
      <c r="Y15" s="2"/>
      <c r="Z15" s="2"/>
    </row>
    <row r="16">
      <c r="A16" s="16" t="s">
        <v>1280</v>
      </c>
      <c r="B16" s="253" t="s">
        <v>1281</v>
      </c>
      <c r="C16" s="36" t="s">
        <v>1282</v>
      </c>
      <c r="D16" s="208">
        <v>3.0</v>
      </c>
      <c r="E16" s="208">
        <v>5.0</v>
      </c>
      <c r="F16" s="16">
        <f t="shared" si="1"/>
        <v>15</v>
      </c>
      <c r="G16" s="16" t="str">
        <f t="shared" si="2"/>
        <v>High</v>
      </c>
      <c r="H16" s="36" t="s">
        <v>1283</v>
      </c>
      <c r="I16" s="36" t="s">
        <v>1284</v>
      </c>
      <c r="J16" s="36" t="s">
        <v>1285</v>
      </c>
      <c r="K16" s="36" t="s">
        <v>1286</v>
      </c>
      <c r="L16" s="36" t="s">
        <v>1287</v>
      </c>
      <c r="M16" s="36" t="s">
        <v>1270</v>
      </c>
      <c r="N16" s="2"/>
      <c r="O16" s="2"/>
      <c r="P16" s="2"/>
      <c r="Q16" s="2"/>
      <c r="R16" s="2"/>
      <c r="S16" s="2"/>
      <c r="T16" s="2"/>
      <c r="U16" s="2"/>
      <c r="V16" s="2"/>
      <c r="W16" s="2"/>
      <c r="X16" s="2"/>
      <c r="Y16" s="2"/>
      <c r="Z16" s="2"/>
    </row>
    <row r="17">
      <c r="A17" s="16" t="s">
        <v>1288</v>
      </c>
      <c r="B17" s="253" t="s">
        <v>1289</v>
      </c>
      <c r="C17" s="36" t="s">
        <v>1290</v>
      </c>
      <c r="D17" s="208">
        <v>2.0</v>
      </c>
      <c r="E17" s="208">
        <v>5.0</v>
      </c>
      <c r="F17" s="16">
        <f t="shared" si="1"/>
        <v>10</v>
      </c>
      <c r="G17" s="16" t="str">
        <f t="shared" si="2"/>
        <v>High</v>
      </c>
      <c r="H17" s="36" t="s">
        <v>1291</v>
      </c>
      <c r="I17" s="36" t="s">
        <v>1292</v>
      </c>
      <c r="J17" s="36" t="s">
        <v>1293</v>
      </c>
      <c r="K17" s="36" t="s">
        <v>1294</v>
      </c>
      <c r="L17" s="36" t="s">
        <v>1295</v>
      </c>
      <c r="M17" s="36" t="s">
        <v>1270</v>
      </c>
      <c r="N17" s="2"/>
      <c r="O17" s="2"/>
      <c r="P17" s="2"/>
      <c r="Q17" s="2"/>
      <c r="R17" s="2"/>
      <c r="S17" s="2"/>
      <c r="T17" s="2"/>
      <c r="U17" s="2"/>
      <c r="V17" s="2"/>
      <c r="W17" s="2"/>
      <c r="X17" s="2"/>
      <c r="Y17" s="2"/>
      <c r="Z17" s="2"/>
    </row>
    <row r="18">
      <c r="A18" s="16" t="s">
        <v>1296</v>
      </c>
      <c r="B18" s="253" t="s">
        <v>1297</v>
      </c>
      <c r="C18" s="36" t="s">
        <v>1298</v>
      </c>
      <c r="D18" s="208">
        <v>3.0</v>
      </c>
      <c r="E18" s="208">
        <v>5.0</v>
      </c>
      <c r="F18" s="16">
        <f t="shared" si="1"/>
        <v>15</v>
      </c>
      <c r="G18" s="16" t="str">
        <f t="shared" si="2"/>
        <v>High</v>
      </c>
      <c r="H18" s="36" t="s">
        <v>1299</v>
      </c>
      <c r="I18" s="36" t="s">
        <v>1300</v>
      </c>
      <c r="J18" s="36" t="s">
        <v>1301</v>
      </c>
      <c r="K18" s="36" t="s">
        <v>1302</v>
      </c>
      <c r="L18" s="36" t="s">
        <v>1303</v>
      </c>
      <c r="M18" s="36" t="s">
        <v>1304</v>
      </c>
      <c r="N18" s="2"/>
      <c r="O18" s="2"/>
      <c r="P18" s="2"/>
      <c r="Q18" s="2"/>
      <c r="R18" s="2"/>
      <c r="S18" s="2"/>
      <c r="T18" s="2"/>
      <c r="U18" s="2"/>
      <c r="V18" s="2"/>
      <c r="W18" s="2"/>
      <c r="X18" s="2"/>
      <c r="Y18" s="2"/>
      <c r="Z18" s="2"/>
    </row>
    <row r="19">
      <c r="A19" s="16" t="s">
        <v>1305</v>
      </c>
      <c r="B19" s="253" t="s">
        <v>1306</v>
      </c>
      <c r="C19" s="36" t="s">
        <v>1307</v>
      </c>
      <c r="D19" s="208">
        <v>3.0</v>
      </c>
      <c r="E19" s="208">
        <v>4.0</v>
      </c>
      <c r="F19" s="16">
        <f t="shared" si="1"/>
        <v>12</v>
      </c>
      <c r="G19" s="16" t="str">
        <f t="shared" si="2"/>
        <v>High</v>
      </c>
      <c r="H19" s="36" t="s">
        <v>1308</v>
      </c>
      <c r="I19" s="36" t="s">
        <v>1309</v>
      </c>
      <c r="J19" s="36" t="s">
        <v>1310</v>
      </c>
      <c r="K19" s="36" t="s">
        <v>1311</v>
      </c>
      <c r="L19" s="36" t="s">
        <v>1312</v>
      </c>
      <c r="M19" s="36" t="s">
        <v>1313</v>
      </c>
      <c r="N19" s="2"/>
      <c r="O19" s="2"/>
      <c r="P19" s="2"/>
      <c r="Q19" s="2"/>
      <c r="R19" s="2"/>
      <c r="S19" s="2"/>
      <c r="T19" s="2"/>
      <c r="U19" s="2"/>
      <c r="V19" s="2"/>
      <c r="W19" s="2"/>
      <c r="X19" s="2"/>
      <c r="Y19" s="2"/>
      <c r="Z19" s="2"/>
    </row>
    <row r="20">
      <c r="A20" s="16" t="s">
        <v>1314</v>
      </c>
      <c r="B20" s="253" t="s">
        <v>1315</v>
      </c>
      <c r="C20" s="36" t="s">
        <v>1316</v>
      </c>
      <c r="D20" s="208">
        <v>3.0</v>
      </c>
      <c r="E20" s="208">
        <v>5.0</v>
      </c>
      <c r="F20" s="16">
        <f t="shared" si="1"/>
        <v>15</v>
      </c>
      <c r="G20" s="16" t="str">
        <f t="shared" si="2"/>
        <v>High</v>
      </c>
      <c r="H20" s="36" t="s">
        <v>1317</v>
      </c>
      <c r="I20" s="36" t="s">
        <v>1318</v>
      </c>
      <c r="J20" s="36" t="s">
        <v>1319</v>
      </c>
      <c r="K20" s="36" t="s">
        <v>1320</v>
      </c>
      <c r="L20" s="36" t="s">
        <v>102</v>
      </c>
      <c r="M20" s="36" t="s">
        <v>1270</v>
      </c>
      <c r="N20" s="2"/>
      <c r="O20" s="2"/>
      <c r="P20" s="2"/>
      <c r="Q20" s="2"/>
      <c r="R20" s="2"/>
      <c r="S20" s="2"/>
      <c r="T20" s="2"/>
      <c r="U20" s="2"/>
      <c r="V20" s="2"/>
      <c r="W20" s="2"/>
      <c r="X20" s="2"/>
      <c r="Y20" s="2"/>
      <c r="Z20" s="2"/>
    </row>
    <row r="21" ht="15.75" customHeight="1">
      <c r="A21" s="16" t="s">
        <v>1321</v>
      </c>
      <c r="B21" s="253" t="s">
        <v>1322</v>
      </c>
      <c r="C21" s="36" t="s">
        <v>1323</v>
      </c>
      <c r="D21" s="208">
        <v>3.0</v>
      </c>
      <c r="E21" s="208">
        <v>4.0</v>
      </c>
      <c r="F21" s="16">
        <f t="shared" si="1"/>
        <v>12</v>
      </c>
      <c r="G21" s="16" t="str">
        <f t="shared" si="2"/>
        <v>High</v>
      </c>
      <c r="H21" s="36" t="s">
        <v>1324</v>
      </c>
      <c r="I21" s="36" t="s">
        <v>1325</v>
      </c>
      <c r="J21" s="36" t="s">
        <v>1326</v>
      </c>
      <c r="K21" s="36" t="s">
        <v>1327</v>
      </c>
      <c r="L21" s="36" t="s">
        <v>1328</v>
      </c>
      <c r="M21" s="36" t="s">
        <v>1329</v>
      </c>
      <c r="N21" s="2"/>
      <c r="O21" s="2"/>
      <c r="P21" s="2"/>
      <c r="Q21" s="2"/>
      <c r="R21" s="2"/>
      <c r="S21" s="2"/>
      <c r="T21" s="2"/>
      <c r="U21" s="2"/>
      <c r="V21" s="2"/>
      <c r="W21" s="2"/>
      <c r="X21" s="2"/>
      <c r="Y21" s="2"/>
      <c r="Z21" s="2"/>
    </row>
    <row r="22" ht="15.75" customHeight="1">
      <c r="A22" s="16" t="s">
        <v>1330</v>
      </c>
      <c r="B22" s="253" t="s">
        <v>1331</v>
      </c>
      <c r="C22" s="36" t="s">
        <v>1332</v>
      </c>
      <c r="D22" s="208">
        <v>4.0</v>
      </c>
      <c r="E22" s="208">
        <v>4.0</v>
      </c>
      <c r="F22" s="16">
        <f t="shared" si="1"/>
        <v>16</v>
      </c>
      <c r="G22" s="16" t="str">
        <f t="shared" si="2"/>
        <v>High</v>
      </c>
      <c r="H22" s="36" t="s">
        <v>1333</v>
      </c>
      <c r="I22" s="36" t="s">
        <v>1334</v>
      </c>
      <c r="J22" s="36" t="s">
        <v>1335</v>
      </c>
      <c r="K22" s="36" t="s">
        <v>1336</v>
      </c>
      <c r="L22" s="36" t="s">
        <v>1337</v>
      </c>
      <c r="M22" s="36" t="s">
        <v>1261</v>
      </c>
      <c r="N22" s="2"/>
      <c r="O22" s="2"/>
      <c r="P22" s="2"/>
      <c r="Q22" s="2"/>
      <c r="R22" s="2"/>
      <c r="S22" s="2"/>
      <c r="T22" s="2"/>
      <c r="U22" s="2"/>
      <c r="V22" s="2"/>
      <c r="W22" s="2"/>
      <c r="X22" s="2"/>
      <c r="Y22" s="2"/>
      <c r="Z22" s="2"/>
    </row>
    <row r="23" ht="15.75" customHeight="1">
      <c r="A23" s="16" t="s">
        <v>1338</v>
      </c>
      <c r="B23" s="253" t="s">
        <v>1339</v>
      </c>
      <c r="C23" s="36" t="s">
        <v>1340</v>
      </c>
      <c r="D23" s="208">
        <v>3.0</v>
      </c>
      <c r="E23" s="208">
        <v>5.0</v>
      </c>
      <c r="F23" s="16">
        <f t="shared" si="1"/>
        <v>15</v>
      </c>
      <c r="G23" s="16" t="str">
        <f t="shared" si="2"/>
        <v>High</v>
      </c>
      <c r="H23" s="36" t="s">
        <v>1341</v>
      </c>
      <c r="I23" s="36" t="s">
        <v>1342</v>
      </c>
      <c r="J23" s="36" t="s">
        <v>1343</v>
      </c>
      <c r="K23" s="36" t="s">
        <v>1344</v>
      </c>
      <c r="L23" s="36" t="s">
        <v>1345</v>
      </c>
      <c r="M23" s="36" t="s">
        <v>1346</v>
      </c>
      <c r="N23" s="2"/>
      <c r="O23" s="2"/>
      <c r="P23" s="2"/>
      <c r="Q23" s="2"/>
      <c r="R23" s="2"/>
      <c r="S23" s="2"/>
      <c r="T23" s="2"/>
      <c r="U23" s="2"/>
      <c r="V23" s="2"/>
      <c r="W23" s="2"/>
      <c r="X23" s="2"/>
      <c r="Y23" s="2"/>
      <c r="Z23" s="2"/>
    </row>
    <row r="24" ht="15.75" customHeight="1">
      <c r="A24" s="16" t="s">
        <v>1347</v>
      </c>
      <c r="B24" s="253" t="s">
        <v>1348</v>
      </c>
      <c r="C24" s="36" t="s">
        <v>1349</v>
      </c>
      <c r="D24" s="208">
        <v>3.0</v>
      </c>
      <c r="E24" s="208">
        <v>4.0</v>
      </c>
      <c r="F24" s="16">
        <f t="shared" si="1"/>
        <v>12</v>
      </c>
      <c r="G24" s="16" t="str">
        <f t="shared" si="2"/>
        <v>High</v>
      </c>
      <c r="H24" s="36" t="s">
        <v>1350</v>
      </c>
      <c r="I24" s="36" t="s">
        <v>1351</v>
      </c>
      <c r="J24" s="36" t="s">
        <v>1352</v>
      </c>
      <c r="K24" s="36" t="s">
        <v>1353</v>
      </c>
      <c r="L24" s="36" t="s">
        <v>1354</v>
      </c>
      <c r="M24" s="36" t="s">
        <v>1355</v>
      </c>
      <c r="N24" s="2"/>
      <c r="O24" s="2"/>
      <c r="P24" s="2"/>
      <c r="Q24" s="2"/>
      <c r="R24" s="2"/>
      <c r="S24" s="2"/>
      <c r="T24" s="2"/>
      <c r="U24" s="2"/>
      <c r="V24" s="2"/>
      <c r="W24" s="2"/>
      <c r="X24" s="2"/>
      <c r="Y24" s="2"/>
      <c r="Z24" s="2"/>
    </row>
    <row r="25" ht="15.75" customHeight="1">
      <c r="A25" s="16" t="s">
        <v>1357</v>
      </c>
      <c r="B25" s="253" t="s">
        <v>1358</v>
      </c>
      <c r="C25" s="36" t="s">
        <v>1359</v>
      </c>
      <c r="D25" s="208">
        <v>3.0</v>
      </c>
      <c r="E25" s="208">
        <v>3.0</v>
      </c>
      <c r="F25" s="16">
        <f t="shared" si="1"/>
        <v>9</v>
      </c>
      <c r="G25" s="16" t="str">
        <f t="shared" si="2"/>
        <v>Medium</v>
      </c>
      <c r="H25" s="36" t="s">
        <v>1360</v>
      </c>
      <c r="I25" s="36" t="s">
        <v>1361</v>
      </c>
      <c r="J25" s="36" t="s">
        <v>1362</v>
      </c>
      <c r="K25" s="36" t="s">
        <v>1363</v>
      </c>
      <c r="L25" s="36" t="s">
        <v>1364</v>
      </c>
      <c r="M25" s="36" t="s">
        <v>1365</v>
      </c>
      <c r="N25" s="2"/>
      <c r="O25" s="2"/>
      <c r="P25" s="2"/>
      <c r="Q25" s="2"/>
      <c r="R25" s="2"/>
      <c r="S25" s="2"/>
      <c r="T25" s="2"/>
      <c r="U25" s="2"/>
      <c r="V25" s="2"/>
      <c r="W25" s="2"/>
      <c r="X25" s="2"/>
      <c r="Y25" s="2"/>
      <c r="Z25" s="2"/>
    </row>
    <row r="26" ht="15.75" customHeight="1">
      <c r="A26" s="16" t="s">
        <v>1366</v>
      </c>
      <c r="B26" s="253" t="s">
        <v>1367</v>
      </c>
      <c r="C26" s="36" t="s">
        <v>1368</v>
      </c>
      <c r="D26" s="208">
        <v>2.0</v>
      </c>
      <c r="E26" s="208">
        <v>5.0</v>
      </c>
      <c r="F26" s="16">
        <f t="shared" si="1"/>
        <v>10</v>
      </c>
      <c r="G26" s="16" t="str">
        <f t="shared" si="2"/>
        <v>High</v>
      </c>
      <c r="H26" s="36" t="s">
        <v>1369</v>
      </c>
      <c r="I26" s="36" t="s">
        <v>1370</v>
      </c>
      <c r="J26" s="36" t="s">
        <v>1371</v>
      </c>
      <c r="K26" s="36" t="s">
        <v>1372</v>
      </c>
      <c r="L26" s="36" t="s">
        <v>1373</v>
      </c>
      <c r="M26" s="36" t="s">
        <v>1374</v>
      </c>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74" t="s">
        <v>1375</v>
      </c>
      <c r="B28" s="39"/>
      <c r="C28" s="39"/>
      <c r="D28" s="39"/>
      <c r="E28" s="39"/>
      <c r="F28" s="39"/>
      <c r="G28" s="40"/>
      <c r="H28" s="188"/>
      <c r="I28" s="188"/>
      <c r="J28" s="188"/>
      <c r="K28" s="188"/>
      <c r="L28" s="188"/>
      <c r="M28" s="188"/>
      <c r="N28" s="2"/>
      <c r="O28" s="2"/>
      <c r="P28" s="2"/>
      <c r="Q28" s="2"/>
      <c r="R28" s="2"/>
      <c r="S28" s="2"/>
      <c r="T28" s="2"/>
      <c r="U28" s="2"/>
      <c r="V28" s="2"/>
      <c r="W28" s="2"/>
      <c r="X28" s="2"/>
      <c r="Y28" s="2"/>
      <c r="Z28" s="2"/>
    </row>
    <row r="29" ht="15.75" customHeight="1">
      <c r="A29" s="175" t="s">
        <v>1377</v>
      </c>
      <c r="B29" s="175" t="s">
        <v>1378</v>
      </c>
      <c r="C29" s="175" t="s">
        <v>1379</v>
      </c>
      <c r="D29" s="175" t="s">
        <v>1380</v>
      </c>
      <c r="E29" s="176" t="s">
        <v>1381</v>
      </c>
      <c r="F29" s="39"/>
      <c r="G29" s="40"/>
      <c r="H29" s="2"/>
      <c r="I29" s="2"/>
      <c r="J29" s="2"/>
      <c r="K29" s="2"/>
      <c r="L29" s="2"/>
      <c r="M29" s="2"/>
      <c r="N29" s="2"/>
      <c r="O29" s="2"/>
      <c r="P29" s="2"/>
      <c r="Q29" s="2"/>
      <c r="R29" s="2"/>
      <c r="S29" s="2"/>
      <c r="T29" s="2"/>
      <c r="U29" s="2"/>
      <c r="V29" s="2"/>
      <c r="W29" s="2"/>
      <c r="X29" s="2"/>
      <c r="Y29" s="2"/>
      <c r="Z29" s="2"/>
    </row>
    <row r="30" ht="15.75" customHeight="1">
      <c r="A30" s="36" t="s">
        <v>1382</v>
      </c>
      <c r="B30" s="36" t="s">
        <v>1383</v>
      </c>
      <c r="C30" s="36" t="s">
        <v>1384</v>
      </c>
      <c r="D30" s="36" t="s">
        <v>1385</v>
      </c>
      <c r="E30" s="178" t="s">
        <v>1386</v>
      </c>
      <c r="F30" s="39"/>
      <c r="G30" s="40"/>
      <c r="H30" s="2"/>
      <c r="I30" s="2"/>
      <c r="J30" s="2"/>
      <c r="K30" s="2"/>
      <c r="L30" s="2"/>
      <c r="M30" s="2"/>
      <c r="N30" s="2"/>
      <c r="O30" s="2"/>
      <c r="P30" s="2"/>
      <c r="Q30" s="2"/>
      <c r="R30" s="2"/>
      <c r="S30" s="2"/>
      <c r="T30" s="2"/>
      <c r="U30" s="2"/>
      <c r="V30" s="2"/>
      <c r="W30" s="2"/>
      <c r="X30" s="2"/>
      <c r="Y30" s="2"/>
      <c r="Z30" s="2"/>
    </row>
    <row r="31" ht="15.75" customHeight="1">
      <c r="A31" s="36" t="s">
        <v>1387</v>
      </c>
      <c r="B31" s="36" t="s">
        <v>1388</v>
      </c>
      <c r="C31" s="36" t="s">
        <v>1389</v>
      </c>
      <c r="D31" s="36" t="s">
        <v>1390</v>
      </c>
      <c r="E31" s="178" t="s">
        <v>1391</v>
      </c>
      <c r="F31" s="39"/>
      <c r="G31" s="40"/>
      <c r="H31" s="2"/>
      <c r="I31" s="2"/>
      <c r="J31" s="2"/>
      <c r="K31" s="2"/>
      <c r="L31" s="2"/>
      <c r="M31" s="2"/>
      <c r="N31" s="2"/>
      <c r="O31" s="2"/>
      <c r="P31" s="2"/>
      <c r="Q31" s="2"/>
      <c r="R31" s="2"/>
      <c r="S31" s="2"/>
      <c r="T31" s="2"/>
      <c r="U31" s="2"/>
      <c r="V31" s="2"/>
      <c r="W31" s="2"/>
      <c r="X31" s="2"/>
      <c r="Y31" s="2"/>
      <c r="Z31" s="2"/>
    </row>
    <row r="32" ht="15.75" customHeight="1">
      <c r="A32" s="36" t="s">
        <v>1392</v>
      </c>
      <c r="B32" s="36" t="s">
        <v>1393</v>
      </c>
      <c r="C32" s="36" t="s">
        <v>1394</v>
      </c>
      <c r="D32" s="36" t="s">
        <v>1395</v>
      </c>
      <c r="E32" s="178" t="s">
        <v>1396</v>
      </c>
      <c r="F32" s="39"/>
      <c r="G32" s="40"/>
      <c r="H32" s="2"/>
      <c r="I32" s="2"/>
      <c r="J32" s="2"/>
      <c r="K32" s="2"/>
      <c r="L32" s="2"/>
      <c r="M32" s="2"/>
      <c r="N32" s="2"/>
      <c r="O32" s="2"/>
      <c r="P32" s="2"/>
      <c r="Q32" s="2"/>
      <c r="R32" s="2"/>
      <c r="S32" s="2"/>
      <c r="T32" s="2"/>
      <c r="U32" s="2"/>
      <c r="V32" s="2"/>
      <c r="W32" s="2"/>
      <c r="X32" s="2"/>
      <c r="Y32" s="2"/>
      <c r="Z32" s="2"/>
    </row>
    <row r="33" ht="15.75" customHeight="1">
      <c r="A33" s="36" t="s">
        <v>1397</v>
      </c>
      <c r="B33" s="36" t="s">
        <v>1398</v>
      </c>
      <c r="C33" s="36" t="s">
        <v>1399</v>
      </c>
      <c r="D33" s="36" t="s">
        <v>1400</v>
      </c>
      <c r="E33" s="178" t="s">
        <v>1401</v>
      </c>
      <c r="F33" s="39"/>
      <c r="G33" s="40"/>
      <c r="H33" s="2"/>
      <c r="I33" s="2"/>
      <c r="J33" s="2"/>
      <c r="K33" s="2"/>
      <c r="L33" s="2"/>
      <c r="M33" s="2"/>
      <c r="N33" s="2"/>
      <c r="O33" s="2"/>
      <c r="P33" s="2"/>
      <c r="Q33" s="2"/>
      <c r="R33" s="2"/>
      <c r="S33" s="2"/>
      <c r="T33" s="2"/>
      <c r="U33" s="2"/>
      <c r="V33" s="2"/>
      <c r="W33" s="2"/>
      <c r="X33" s="2"/>
      <c r="Y33" s="2"/>
      <c r="Z33" s="2"/>
    </row>
    <row r="34" ht="15.75" customHeight="1">
      <c r="A34" s="36" t="s">
        <v>1402</v>
      </c>
      <c r="B34" s="36" t="s">
        <v>1403</v>
      </c>
      <c r="C34" s="36" t="s">
        <v>1404</v>
      </c>
      <c r="D34" s="36" t="s">
        <v>1405</v>
      </c>
      <c r="E34" s="178" t="s">
        <v>1406</v>
      </c>
      <c r="F34" s="39"/>
      <c r="G34" s="40"/>
      <c r="H34" s="2"/>
      <c r="I34" s="2"/>
      <c r="J34" s="2"/>
      <c r="K34" s="2"/>
      <c r="L34" s="2"/>
      <c r="M34" s="2"/>
      <c r="N34" s="2"/>
      <c r="O34" s="2"/>
      <c r="P34" s="2"/>
      <c r="Q34" s="2"/>
      <c r="R34" s="2"/>
      <c r="S34" s="2"/>
      <c r="T34" s="2"/>
      <c r="U34" s="2"/>
      <c r="V34" s="2"/>
      <c r="W34" s="2"/>
      <c r="X34" s="2"/>
      <c r="Y34" s="2"/>
      <c r="Z34" s="2"/>
    </row>
    <row r="35" ht="15.75" customHeight="1">
      <c r="A35" s="36" t="s">
        <v>1407</v>
      </c>
      <c r="B35" s="36" t="s">
        <v>1408</v>
      </c>
      <c r="C35" s="36" t="s">
        <v>1409</v>
      </c>
      <c r="D35" s="36" t="s">
        <v>1410</v>
      </c>
      <c r="E35" s="178" t="s">
        <v>1411</v>
      </c>
      <c r="F35" s="39"/>
      <c r="G35" s="40"/>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M1"/>
    <mergeCell ref="A2:M2"/>
    <mergeCell ref="A4:G4"/>
    <mergeCell ref="F5:G5"/>
    <mergeCell ref="F6:G6"/>
    <mergeCell ref="F7:G7"/>
    <mergeCell ref="F8:G8"/>
    <mergeCell ref="E33:G33"/>
    <mergeCell ref="E34:G34"/>
    <mergeCell ref="E35:G35"/>
    <mergeCell ref="F9:G9"/>
    <mergeCell ref="A11:M11"/>
    <mergeCell ref="A28:G28"/>
    <mergeCell ref="E29:G29"/>
    <mergeCell ref="E30:G30"/>
    <mergeCell ref="E31:G31"/>
    <mergeCell ref="E32:G32"/>
  </mergeCells>
  <conditionalFormatting sqref="F13:F26">
    <cfRule type="colorScale" priority="1">
      <colorScale>
        <cfvo type="min"/>
        <cfvo type="percentile" val="50"/>
        <cfvo type="max"/>
        <color rgb="FFE2F0D9"/>
        <color rgb="FFFFF2CC"/>
        <color rgb="FFF4CCCC"/>
      </colorScale>
    </cfRule>
  </conditionalFormatting>
  <conditionalFormatting sqref="G13:G26">
    <cfRule type="expression" dxfId="6" priority="2">
      <formula>G13="Critical"</formula>
    </cfRule>
  </conditionalFormatting>
  <conditionalFormatting sqref="G13:G26">
    <cfRule type="expression" dxfId="7" priority="3">
      <formula>G13="High"</formula>
    </cfRule>
  </conditionalFormatting>
  <conditionalFormatting sqref="G13:G26">
    <cfRule type="expression" dxfId="8" priority="4">
      <formula>G13="Medium"</formula>
    </cfRule>
  </conditionalFormatting>
  <conditionalFormatting sqref="G13:G26">
    <cfRule type="expression" dxfId="9" priority="5">
      <formula>G13="Low"</formula>
    </cfRule>
  </conditionalFormatting>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29"/>
    <col customWidth="1" min="2" max="12" width="18.86"/>
    <col customWidth="1" min="13" max="13" width="25.14"/>
    <col customWidth="1" min="14" max="26" width="18.86"/>
  </cols>
  <sheetData>
    <row r="1" ht="17.25" customHeight="1">
      <c r="A1" s="254" t="s">
        <v>1413</v>
      </c>
      <c r="B1" s="4"/>
      <c r="C1" s="4"/>
      <c r="D1" s="4"/>
      <c r="E1" s="4"/>
      <c r="F1" s="4"/>
      <c r="G1" s="4"/>
      <c r="H1" s="4"/>
      <c r="I1" s="4"/>
      <c r="J1" s="4"/>
      <c r="K1" s="4"/>
      <c r="L1" s="4"/>
      <c r="M1" s="4"/>
      <c r="N1" s="6"/>
      <c r="O1" s="7"/>
      <c r="P1" s="7"/>
      <c r="Q1" s="7"/>
      <c r="R1" s="7"/>
      <c r="S1" s="7"/>
      <c r="T1" s="7"/>
      <c r="U1" s="7"/>
      <c r="V1" s="7"/>
      <c r="W1" s="7"/>
      <c r="X1" s="7"/>
      <c r="Y1" s="7"/>
      <c r="Z1" s="7"/>
    </row>
    <row r="2" ht="13.5" customHeight="1">
      <c r="A2" s="258" t="s">
        <v>1416</v>
      </c>
      <c r="B2" s="4"/>
      <c r="C2" s="4"/>
      <c r="D2" s="4"/>
      <c r="E2" s="4"/>
      <c r="F2" s="4"/>
      <c r="G2" s="4"/>
      <c r="H2" s="4"/>
      <c r="I2" s="4"/>
      <c r="J2" s="4"/>
      <c r="K2" s="4"/>
      <c r="L2" s="4"/>
      <c r="M2" s="4"/>
      <c r="N2" s="6"/>
      <c r="O2" s="7"/>
      <c r="P2" s="7"/>
      <c r="Q2" s="7"/>
      <c r="R2" s="7"/>
      <c r="S2" s="7"/>
      <c r="T2" s="7"/>
      <c r="U2" s="7"/>
      <c r="V2" s="7"/>
      <c r="W2" s="7"/>
      <c r="X2" s="7"/>
      <c r="Y2" s="7"/>
      <c r="Z2" s="7"/>
    </row>
    <row r="3" ht="13.5" customHeight="1">
      <c r="A3" s="260"/>
      <c r="B3" s="260"/>
      <c r="C3" s="260"/>
      <c r="D3" s="260"/>
      <c r="E3" s="260"/>
      <c r="F3" s="260"/>
      <c r="G3" s="260"/>
      <c r="H3" s="260"/>
      <c r="I3" s="260"/>
      <c r="J3" s="260"/>
      <c r="K3" s="260"/>
      <c r="L3" s="260"/>
      <c r="M3" s="260"/>
      <c r="N3" s="260"/>
      <c r="O3" s="7"/>
      <c r="P3" s="7"/>
      <c r="Q3" s="7"/>
      <c r="R3" s="7"/>
      <c r="S3" s="7"/>
      <c r="T3" s="7"/>
      <c r="U3" s="7"/>
      <c r="V3" s="7"/>
      <c r="W3" s="7"/>
      <c r="X3" s="7"/>
      <c r="Y3" s="7"/>
      <c r="Z3" s="7"/>
    </row>
    <row r="4" ht="13.5" customHeight="1">
      <c r="A4" s="261" t="s">
        <v>1421</v>
      </c>
      <c r="B4" s="39"/>
      <c r="C4" s="39"/>
      <c r="D4" s="39"/>
      <c r="E4" s="39"/>
      <c r="F4" s="39"/>
      <c r="G4" s="39"/>
      <c r="H4" s="39"/>
      <c r="I4" s="39"/>
      <c r="J4" s="39"/>
      <c r="K4" s="39"/>
      <c r="L4" s="39"/>
      <c r="M4" s="39"/>
      <c r="N4" s="40"/>
      <c r="O4" s="7"/>
      <c r="P4" s="7"/>
      <c r="Q4" s="7"/>
      <c r="R4" s="7"/>
      <c r="S4" s="7"/>
      <c r="T4" s="7"/>
      <c r="U4" s="7"/>
      <c r="V4" s="7"/>
      <c r="W4" s="7"/>
      <c r="X4" s="7"/>
      <c r="Y4" s="7"/>
      <c r="Z4" s="7"/>
    </row>
    <row r="5" ht="13.5" customHeight="1">
      <c r="A5" s="262" t="s">
        <v>697</v>
      </c>
      <c r="B5" s="262" t="s">
        <v>122</v>
      </c>
      <c r="C5" s="262" t="s">
        <v>123</v>
      </c>
      <c r="D5" s="262" t="s">
        <v>780</v>
      </c>
      <c r="E5" s="260"/>
      <c r="F5" s="262" t="s">
        <v>283</v>
      </c>
      <c r="G5" s="262" t="s">
        <v>1422</v>
      </c>
      <c r="H5" s="262" t="s">
        <v>1423</v>
      </c>
      <c r="I5" s="262" t="s">
        <v>1424</v>
      </c>
      <c r="J5" s="260"/>
      <c r="K5" s="260"/>
      <c r="L5" s="260"/>
      <c r="M5" s="260"/>
      <c r="N5" s="260"/>
      <c r="O5" s="7"/>
      <c r="P5" s="7"/>
      <c r="Q5" s="7"/>
      <c r="R5" s="7"/>
      <c r="S5" s="7"/>
      <c r="T5" s="7"/>
      <c r="U5" s="7"/>
      <c r="V5" s="7"/>
      <c r="W5" s="7"/>
      <c r="X5" s="7"/>
      <c r="Y5" s="7"/>
      <c r="Z5" s="7"/>
    </row>
    <row r="6" ht="13.5" customHeight="1">
      <c r="A6" s="22" t="s">
        <v>130</v>
      </c>
      <c r="B6" s="24">
        <v>5020000.0</v>
      </c>
      <c r="C6" s="9" t="s">
        <v>131</v>
      </c>
      <c r="D6" s="22" t="s">
        <v>1425</v>
      </c>
      <c r="E6" s="260"/>
      <c r="F6" s="263" t="s">
        <v>164</v>
      </c>
      <c r="G6" s="264">
        <f>C21</f>
        <v>5020000</v>
      </c>
      <c r="H6" s="264">
        <f>C21</f>
        <v>5020000</v>
      </c>
      <c r="I6" s="264">
        <f>C21</f>
        <v>5020000</v>
      </c>
      <c r="J6" s="260"/>
      <c r="K6" s="260"/>
      <c r="L6" s="260"/>
      <c r="M6" s="260"/>
      <c r="N6" s="260"/>
      <c r="O6" s="7"/>
      <c r="P6" s="7"/>
      <c r="Q6" s="7"/>
      <c r="R6" s="7"/>
      <c r="S6" s="7"/>
      <c r="T6" s="7"/>
      <c r="U6" s="7"/>
      <c r="V6" s="7"/>
      <c r="W6" s="7"/>
      <c r="X6" s="7"/>
      <c r="Y6" s="7"/>
      <c r="Z6" s="7"/>
    </row>
    <row r="7" ht="13.5" customHeight="1">
      <c r="A7" s="22" t="s">
        <v>1426</v>
      </c>
      <c r="B7" s="265">
        <v>0.22</v>
      </c>
      <c r="C7" s="9" t="s">
        <v>1427</v>
      </c>
      <c r="D7" s="22" t="s">
        <v>1428</v>
      </c>
      <c r="E7" s="260"/>
      <c r="F7" s="263" t="s">
        <v>165</v>
      </c>
      <c r="G7" s="264" t="s">
        <v>60</v>
      </c>
      <c r="H7" s="264">
        <f>D21</f>
        <v>6124400</v>
      </c>
      <c r="I7" s="264">
        <f>G21</f>
        <v>4518000</v>
      </c>
      <c r="J7" s="260"/>
      <c r="K7" s="260"/>
      <c r="L7" s="260"/>
      <c r="M7" s="260"/>
      <c r="N7" s="260"/>
      <c r="O7" s="7"/>
      <c r="P7" s="7"/>
      <c r="Q7" s="7"/>
      <c r="R7" s="7"/>
      <c r="S7" s="7"/>
      <c r="T7" s="7"/>
      <c r="U7" s="7"/>
      <c r="V7" s="7"/>
      <c r="W7" s="7"/>
      <c r="X7" s="7"/>
      <c r="Y7" s="7"/>
      <c r="Z7" s="7"/>
    </row>
    <row r="8" ht="13.5" customHeight="1">
      <c r="A8" s="22" t="s">
        <v>1429</v>
      </c>
      <c r="B8" s="265">
        <v>0.25</v>
      </c>
      <c r="C8" s="9" t="s">
        <v>1427</v>
      </c>
      <c r="D8" s="22" t="s">
        <v>1430</v>
      </c>
      <c r="E8" s="260"/>
      <c r="F8" s="263" t="s">
        <v>166</v>
      </c>
      <c r="G8" s="264" t="s">
        <v>60</v>
      </c>
      <c r="H8" s="264">
        <f>E21</f>
        <v>7655500</v>
      </c>
      <c r="I8" s="264">
        <f>H21</f>
        <v>3975840</v>
      </c>
      <c r="J8" s="260"/>
      <c r="K8" s="260"/>
      <c r="L8" s="260"/>
      <c r="M8" s="260"/>
      <c r="N8" s="260"/>
      <c r="O8" s="7"/>
      <c r="P8" s="7"/>
      <c r="Q8" s="7"/>
      <c r="R8" s="7"/>
      <c r="S8" s="7"/>
      <c r="T8" s="7"/>
      <c r="U8" s="7"/>
      <c r="V8" s="7"/>
      <c r="W8" s="7"/>
      <c r="X8" s="7"/>
      <c r="Y8" s="7"/>
      <c r="Z8" s="7"/>
    </row>
    <row r="9" ht="13.5" customHeight="1">
      <c r="A9" s="22" t="s">
        <v>1431</v>
      </c>
      <c r="B9" s="265">
        <v>0.28</v>
      </c>
      <c r="C9" s="9" t="s">
        <v>1427</v>
      </c>
      <c r="D9" s="22" t="s">
        <v>1432</v>
      </c>
      <c r="E9" s="260"/>
      <c r="F9" s="263" t="s">
        <v>167</v>
      </c>
      <c r="G9" s="264" t="s">
        <v>60</v>
      </c>
      <c r="H9" s="264">
        <f>F21</f>
        <v>9799040</v>
      </c>
      <c r="I9" s="264">
        <f>I21</f>
        <v>3379464</v>
      </c>
      <c r="J9" s="260"/>
      <c r="K9" s="260"/>
      <c r="L9" s="260"/>
      <c r="M9" s="260"/>
      <c r="N9" s="260"/>
      <c r="O9" s="7"/>
      <c r="P9" s="7"/>
      <c r="Q9" s="7"/>
      <c r="R9" s="7"/>
      <c r="S9" s="7"/>
      <c r="T9" s="7"/>
      <c r="U9" s="7"/>
      <c r="V9" s="7"/>
      <c r="W9" s="7"/>
      <c r="X9" s="7"/>
      <c r="Y9" s="7"/>
      <c r="Z9" s="7"/>
    </row>
    <row r="10" ht="13.5" customHeight="1">
      <c r="A10" s="22" t="s">
        <v>1433</v>
      </c>
      <c r="B10" s="265">
        <v>-0.1</v>
      </c>
      <c r="C10" s="9" t="s">
        <v>1427</v>
      </c>
      <c r="D10" s="22" t="s">
        <v>1434</v>
      </c>
      <c r="E10" s="260"/>
      <c r="F10" s="260"/>
      <c r="G10" s="260"/>
      <c r="H10" s="266"/>
      <c r="J10" s="260"/>
      <c r="K10" s="260"/>
      <c r="L10" s="260"/>
      <c r="M10" s="260"/>
      <c r="N10" s="260"/>
      <c r="O10" s="7"/>
      <c r="P10" s="7"/>
      <c r="Q10" s="7"/>
      <c r="R10" s="7"/>
      <c r="S10" s="7"/>
      <c r="T10" s="7"/>
      <c r="U10" s="7"/>
      <c r="V10" s="7"/>
      <c r="W10" s="7"/>
      <c r="X10" s="7"/>
      <c r="Y10" s="7"/>
      <c r="Z10" s="7"/>
    </row>
    <row r="11" ht="13.5" customHeight="1">
      <c r="A11" s="22" t="s">
        <v>1435</v>
      </c>
      <c r="B11" s="265">
        <v>-0.12</v>
      </c>
      <c r="C11" s="9" t="s">
        <v>1427</v>
      </c>
      <c r="D11" s="22" t="s">
        <v>1436</v>
      </c>
      <c r="E11" s="260"/>
      <c r="F11" s="260"/>
      <c r="G11" s="260"/>
      <c r="H11" s="260"/>
      <c r="I11" s="260"/>
      <c r="J11" s="260"/>
      <c r="K11" s="260"/>
      <c r="L11" s="260"/>
      <c r="M11" s="260"/>
      <c r="N11" s="260"/>
      <c r="O11" s="7"/>
      <c r="P11" s="7"/>
      <c r="Q11" s="7"/>
      <c r="R11" s="7"/>
      <c r="S11" s="7"/>
      <c r="T11" s="7"/>
      <c r="U11" s="7"/>
      <c r="V11" s="7"/>
      <c r="W11" s="7"/>
      <c r="X11" s="7"/>
      <c r="Y11" s="7"/>
      <c r="Z11" s="7"/>
    </row>
    <row r="12" ht="13.5" customHeight="1">
      <c r="A12" s="22" t="s">
        <v>1437</v>
      </c>
      <c r="B12" s="265">
        <v>-0.15</v>
      </c>
      <c r="C12" s="9" t="s">
        <v>1427</v>
      </c>
      <c r="D12" s="22" t="s">
        <v>1438</v>
      </c>
      <c r="E12" s="260"/>
      <c r="F12" s="260"/>
      <c r="G12" s="260"/>
      <c r="H12" s="260"/>
      <c r="I12" s="260"/>
      <c r="J12" s="260"/>
      <c r="K12" s="260"/>
      <c r="L12" s="260"/>
      <c r="M12" s="260"/>
      <c r="N12" s="260"/>
      <c r="O12" s="7"/>
      <c r="P12" s="7"/>
      <c r="Q12" s="7"/>
      <c r="R12" s="7"/>
      <c r="S12" s="7"/>
      <c r="T12" s="7"/>
      <c r="U12" s="7"/>
      <c r="V12" s="7"/>
      <c r="W12" s="7"/>
      <c r="X12" s="7"/>
      <c r="Y12" s="7"/>
      <c r="Z12" s="7"/>
    </row>
    <row r="13" ht="13.5" customHeight="1">
      <c r="A13" s="260"/>
      <c r="B13" s="260"/>
      <c r="C13" s="260"/>
      <c r="D13" s="260"/>
      <c r="E13" s="260"/>
      <c r="F13" s="260"/>
      <c r="G13" s="260"/>
      <c r="H13" s="260"/>
      <c r="I13" s="260"/>
      <c r="J13" s="260"/>
      <c r="K13" s="260"/>
      <c r="L13" s="260"/>
      <c r="M13" s="260"/>
      <c r="N13" s="260"/>
      <c r="O13" s="7"/>
      <c r="P13" s="7"/>
      <c r="Q13" s="7"/>
      <c r="R13" s="7"/>
      <c r="S13" s="7"/>
      <c r="T13" s="7"/>
      <c r="U13" s="7"/>
      <c r="V13" s="7"/>
      <c r="W13" s="7"/>
      <c r="X13" s="7"/>
      <c r="Y13" s="7"/>
      <c r="Z13" s="7"/>
    </row>
    <row r="14" ht="13.5" customHeight="1">
      <c r="A14" s="267" t="s">
        <v>1439</v>
      </c>
      <c r="B14" s="4"/>
      <c r="C14" s="4"/>
      <c r="D14" s="4"/>
      <c r="E14" s="4"/>
      <c r="F14" s="4"/>
      <c r="G14" s="4"/>
      <c r="H14" s="4"/>
      <c r="I14" s="4"/>
      <c r="J14" s="4"/>
      <c r="K14" s="4"/>
      <c r="L14" s="4"/>
      <c r="M14" s="4"/>
      <c r="N14" s="6"/>
      <c r="O14" s="7"/>
      <c r="P14" s="7"/>
      <c r="Q14" s="7"/>
      <c r="R14" s="7"/>
      <c r="S14" s="7"/>
      <c r="T14" s="7"/>
      <c r="U14" s="7"/>
      <c r="V14" s="7"/>
      <c r="W14" s="7"/>
      <c r="X14" s="7"/>
      <c r="Y14" s="7"/>
      <c r="Z14" s="7"/>
    </row>
    <row r="15" ht="13.5" customHeight="1">
      <c r="A15" s="262" t="s">
        <v>958</v>
      </c>
      <c r="B15" s="262" t="s">
        <v>1081</v>
      </c>
      <c r="C15" s="262" t="s">
        <v>1440</v>
      </c>
      <c r="D15" s="262" t="s">
        <v>1441</v>
      </c>
      <c r="E15" s="262" t="s">
        <v>1442</v>
      </c>
      <c r="F15" s="262" t="s">
        <v>1443</v>
      </c>
      <c r="G15" s="262" t="s">
        <v>1444</v>
      </c>
      <c r="H15" s="262" t="s">
        <v>1445</v>
      </c>
      <c r="I15" s="262" t="s">
        <v>1446</v>
      </c>
      <c r="J15" s="262" t="s">
        <v>1447</v>
      </c>
      <c r="K15" s="262" t="s">
        <v>1448</v>
      </c>
      <c r="L15" s="262" t="s">
        <v>1449</v>
      </c>
      <c r="M15" s="262" t="s">
        <v>1450</v>
      </c>
      <c r="N15" s="262" t="s">
        <v>1451</v>
      </c>
      <c r="O15" s="7"/>
      <c r="P15" s="7"/>
      <c r="Q15" s="7"/>
      <c r="R15" s="7"/>
      <c r="S15" s="7"/>
      <c r="T15" s="7"/>
      <c r="U15" s="7"/>
      <c r="V15" s="7"/>
      <c r="W15" s="7"/>
      <c r="X15" s="7"/>
      <c r="Y15" s="7"/>
      <c r="Z15" s="7"/>
    </row>
    <row r="16" ht="13.5" customHeight="1">
      <c r="A16" s="22" t="s">
        <v>968</v>
      </c>
      <c r="B16" s="22" t="s">
        <v>969</v>
      </c>
      <c r="C16" s="268">
        <v>1800000.0</v>
      </c>
      <c r="D16" s="269">
        <f t="shared" ref="D16:D20" si="2">C16*(1+$B$7)</f>
        <v>2196000</v>
      </c>
      <c r="E16" s="269">
        <f t="shared" ref="E16:E20" si="3">D16*(1+$B$8)</f>
        <v>2745000</v>
      </c>
      <c r="F16" s="269">
        <f t="shared" ref="F16:F20" si="4">E16*(1+$B$9)</f>
        <v>3513600</v>
      </c>
      <c r="G16" s="269">
        <f t="shared" ref="G16:G20" si="5">C16*(1+$B$10)</f>
        <v>1620000</v>
      </c>
      <c r="H16" s="269">
        <f t="shared" ref="H16:H20" si="6">G16*(1+$B$11)</f>
        <v>1425600</v>
      </c>
      <c r="I16" s="269">
        <f t="shared" ref="I16:I20" si="7">H16*(1+$B$12)</f>
        <v>1211760</v>
      </c>
      <c r="J16" s="270">
        <f t="shared" ref="J16:L16" si="1">D16/C16-1</f>
        <v>0.22</v>
      </c>
      <c r="K16" s="270">
        <f t="shared" si="1"/>
        <v>0.25</v>
      </c>
      <c r="L16" s="270">
        <f t="shared" si="1"/>
        <v>0.28</v>
      </c>
      <c r="M16" s="269">
        <f t="shared" ref="M16:M21" si="9">F16-I16</f>
        <v>2301840</v>
      </c>
      <c r="N16" s="22" t="str">
        <f t="shared" ref="N16:N20" si="10">"Potential orders — not firm PO"</f>
        <v>Potential orders — not firm PO</v>
      </c>
      <c r="O16" s="7"/>
      <c r="P16" s="7"/>
      <c r="Q16" s="7"/>
      <c r="R16" s="7"/>
      <c r="S16" s="7"/>
      <c r="T16" s="7"/>
      <c r="U16" s="7"/>
      <c r="V16" s="7"/>
      <c r="W16" s="7"/>
      <c r="X16" s="7"/>
      <c r="Y16" s="7"/>
      <c r="Z16" s="7"/>
    </row>
    <row r="17" ht="13.5" customHeight="1">
      <c r="A17" s="22" t="s">
        <v>972</v>
      </c>
      <c r="B17" s="22" t="s">
        <v>973</v>
      </c>
      <c r="C17" s="268">
        <v>1200000.0</v>
      </c>
      <c r="D17" s="269">
        <f t="shared" si="2"/>
        <v>1464000</v>
      </c>
      <c r="E17" s="269">
        <f t="shared" si="3"/>
        <v>1830000</v>
      </c>
      <c r="F17" s="269">
        <f t="shared" si="4"/>
        <v>2342400</v>
      </c>
      <c r="G17" s="269">
        <f t="shared" si="5"/>
        <v>1080000</v>
      </c>
      <c r="H17" s="269">
        <f t="shared" si="6"/>
        <v>950400</v>
      </c>
      <c r="I17" s="269">
        <f t="shared" si="7"/>
        <v>807840</v>
      </c>
      <c r="J17" s="270">
        <f t="shared" ref="J17:L17" si="8">D17/C17-1</f>
        <v>0.22</v>
      </c>
      <c r="K17" s="270">
        <f t="shared" si="8"/>
        <v>0.25</v>
      </c>
      <c r="L17" s="270">
        <f t="shared" si="8"/>
        <v>0.28</v>
      </c>
      <c r="M17" s="269">
        <f t="shared" si="9"/>
        <v>1534560</v>
      </c>
      <c r="N17" s="22" t="str">
        <f t="shared" si="10"/>
        <v>Potential orders — not firm PO</v>
      </c>
      <c r="O17" s="7"/>
      <c r="P17" s="7"/>
      <c r="Q17" s="7"/>
      <c r="R17" s="7"/>
      <c r="S17" s="7"/>
      <c r="T17" s="7"/>
      <c r="U17" s="7"/>
      <c r="V17" s="7"/>
      <c r="W17" s="7"/>
      <c r="X17" s="7"/>
      <c r="Y17" s="7"/>
      <c r="Z17" s="7"/>
    </row>
    <row r="18" ht="13.5" customHeight="1">
      <c r="A18" s="22" t="s">
        <v>976</v>
      </c>
      <c r="B18" s="22" t="s">
        <v>977</v>
      </c>
      <c r="C18" s="268">
        <v>850000.0</v>
      </c>
      <c r="D18" s="269">
        <f t="shared" si="2"/>
        <v>1037000</v>
      </c>
      <c r="E18" s="269">
        <f t="shared" si="3"/>
        <v>1296250</v>
      </c>
      <c r="F18" s="269">
        <f t="shared" si="4"/>
        <v>1659200</v>
      </c>
      <c r="G18" s="269">
        <f t="shared" si="5"/>
        <v>765000</v>
      </c>
      <c r="H18" s="269">
        <f t="shared" si="6"/>
        <v>673200</v>
      </c>
      <c r="I18" s="269">
        <f t="shared" si="7"/>
        <v>572220</v>
      </c>
      <c r="J18" s="270">
        <f t="shared" ref="J18:L18" si="11">D18/C18-1</f>
        <v>0.22</v>
      </c>
      <c r="K18" s="270">
        <f t="shared" si="11"/>
        <v>0.25</v>
      </c>
      <c r="L18" s="270">
        <f t="shared" si="11"/>
        <v>0.28</v>
      </c>
      <c r="M18" s="269">
        <f t="shared" si="9"/>
        <v>1086980</v>
      </c>
      <c r="N18" s="22" t="str">
        <f t="shared" si="10"/>
        <v>Potential orders — not firm PO</v>
      </c>
      <c r="O18" s="7"/>
      <c r="P18" s="7"/>
      <c r="Q18" s="7"/>
      <c r="R18" s="7"/>
      <c r="S18" s="7"/>
      <c r="T18" s="7"/>
      <c r="U18" s="7"/>
      <c r="V18" s="7"/>
      <c r="W18" s="7"/>
      <c r="X18" s="7"/>
      <c r="Y18" s="7"/>
      <c r="Z18" s="7"/>
    </row>
    <row r="19" ht="13.5" customHeight="1">
      <c r="A19" s="22" t="s">
        <v>979</v>
      </c>
      <c r="B19" s="22" t="s">
        <v>980</v>
      </c>
      <c r="C19" s="268">
        <v>520000.0</v>
      </c>
      <c r="D19" s="269">
        <f t="shared" si="2"/>
        <v>634400</v>
      </c>
      <c r="E19" s="269">
        <f t="shared" si="3"/>
        <v>793000</v>
      </c>
      <c r="F19" s="269">
        <f t="shared" si="4"/>
        <v>1015040</v>
      </c>
      <c r="G19" s="269">
        <f t="shared" si="5"/>
        <v>468000</v>
      </c>
      <c r="H19" s="269">
        <f t="shared" si="6"/>
        <v>411840</v>
      </c>
      <c r="I19" s="269">
        <f t="shared" si="7"/>
        <v>350064</v>
      </c>
      <c r="J19" s="270">
        <f t="shared" ref="J19:L19" si="12">D19/C19-1</f>
        <v>0.22</v>
      </c>
      <c r="K19" s="270">
        <f t="shared" si="12"/>
        <v>0.25</v>
      </c>
      <c r="L19" s="270">
        <f t="shared" si="12"/>
        <v>0.28</v>
      </c>
      <c r="M19" s="269">
        <f t="shared" si="9"/>
        <v>664976</v>
      </c>
      <c r="N19" s="22" t="str">
        <f t="shared" si="10"/>
        <v>Potential orders — not firm PO</v>
      </c>
      <c r="O19" s="7"/>
      <c r="P19" s="7"/>
      <c r="Q19" s="7"/>
      <c r="R19" s="7"/>
      <c r="S19" s="7"/>
      <c r="T19" s="7"/>
      <c r="U19" s="7"/>
      <c r="V19" s="7"/>
      <c r="W19" s="7"/>
      <c r="X19" s="7"/>
      <c r="Y19" s="7"/>
      <c r="Z19" s="7"/>
    </row>
    <row r="20" ht="13.5" customHeight="1">
      <c r="A20" s="22" t="s">
        <v>982</v>
      </c>
      <c r="B20" s="22" t="s">
        <v>983</v>
      </c>
      <c r="C20" s="268">
        <v>650000.0</v>
      </c>
      <c r="D20" s="269">
        <f t="shared" si="2"/>
        <v>793000</v>
      </c>
      <c r="E20" s="269">
        <f t="shared" si="3"/>
        <v>991250</v>
      </c>
      <c r="F20" s="269">
        <f t="shared" si="4"/>
        <v>1268800</v>
      </c>
      <c r="G20" s="269">
        <f t="shared" si="5"/>
        <v>585000</v>
      </c>
      <c r="H20" s="269">
        <f t="shared" si="6"/>
        <v>514800</v>
      </c>
      <c r="I20" s="269">
        <f t="shared" si="7"/>
        <v>437580</v>
      </c>
      <c r="J20" s="270">
        <f t="shared" ref="J20:L20" si="13">D20/C20-1</f>
        <v>0.22</v>
      </c>
      <c r="K20" s="270">
        <f t="shared" si="13"/>
        <v>0.25</v>
      </c>
      <c r="L20" s="270">
        <f t="shared" si="13"/>
        <v>0.28</v>
      </c>
      <c r="M20" s="269">
        <f t="shared" si="9"/>
        <v>831220</v>
      </c>
      <c r="N20" s="22" t="str">
        <f t="shared" si="10"/>
        <v>Potential orders — not firm PO</v>
      </c>
      <c r="O20" s="7"/>
      <c r="P20" s="7"/>
      <c r="Q20" s="7"/>
      <c r="R20" s="7"/>
      <c r="S20" s="7"/>
      <c r="T20" s="7"/>
      <c r="U20" s="7"/>
      <c r="V20" s="7"/>
      <c r="W20" s="7"/>
      <c r="X20" s="7"/>
      <c r="Y20" s="7"/>
      <c r="Z20" s="7"/>
    </row>
    <row r="21" ht="13.5" customHeight="1">
      <c r="A21" s="195" t="s">
        <v>1463</v>
      </c>
      <c r="B21" s="272" t="s">
        <v>1464</v>
      </c>
      <c r="C21" s="273">
        <f t="shared" ref="C21:I21" si="14">SUM(C16:C20)</f>
        <v>5020000</v>
      </c>
      <c r="D21" s="273">
        <f t="shared" si="14"/>
        <v>6124400</v>
      </c>
      <c r="E21" s="273">
        <f t="shared" si="14"/>
        <v>7655500</v>
      </c>
      <c r="F21" s="273">
        <f t="shared" si="14"/>
        <v>9799040</v>
      </c>
      <c r="G21" s="273">
        <f t="shared" si="14"/>
        <v>4518000</v>
      </c>
      <c r="H21" s="273">
        <f t="shared" si="14"/>
        <v>3975840</v>
      </c>
      <c r="I21" s="273">
        <f t="shared" si="14"/>
        <v>3379464</v>
      </c>
      <c r="J21" s="274">
        <f t="shared" ref="J21:L21" si="15">D21/C21-1</f>
        <v>0.22</v>
      </c>
      <c r="K21" s="274">
        <f t="shared" si="15"/>
        <v>0.25</v>
      </c>
      <c r="L21" s="274">
        <f t="shared" si="15"/>
        <v>0.28</v>
      </c>
      <c r="M21" s="273">
        <f t="shared" si="9"/>
        <v>6419576</v>
      </c>
      <c r="N21" s="272" t="s">
        <v>1465</v>
      </c>
      <c r="O21" s="7"/>
      <c r="P21" s="7"/>
      <c r="Q21" s="7"/>
      <c r="R21" s="7"/>
      <c r="S21" s="7"/>
      <c r="T21" s="7"/>
      <c r="U21" s="7"/>
      <c r="V21" s="7"/>
      <c r="W21" s="7"/>
      <c r="X21" s="7"/>
      <c r="Y21" s="7"/>
      <c r="Z21" s="7"/>
    </row>
    <row r="22" ht="13.5" customHeight="1">
      <c r="A22" s="260"/>
      <c r="B22" s="260"/>
      <c r="C22" s="260"/>
      <c r="D22" s="260"/>
      <c r="E22" s="260"/>
      <c r="F22" s="260"/>
      <c r="G22" s="260"/>
      <c r="H22" s="260"/>
      <c r="I22" s="260"/>
      <c r="J22" s="260"/>
      <c r="K22" s="260"/>
      <c r="L22" s="260"/>
      <c r="M22" s="260"/>
      <c r="N22" s="260"/>
      <c r="O22" s="7"/>
      <c r="P22" s="7"/>
      <c r="Q22" s="7"/>
      <c r="R22" s="7"/>
      <c r="S22" s="7"/>
      <c r="T22" s="7"/>
      <c r="U22" s="7"/>
      <c r="V22" s="7"/>
      <c r="W22" s="7"/>
      <c r="X22" s="7"/>
      <c r="Y22" s="7"/>
      <c r="Z22" s="7"/>
    </row>
    <row r="23" ht="13.5" customHeight="1">
      <c r="A23" s="260"/>
      <c r="B23" s="260"/>
      <c r="C23" s="260"/>
      <c r="D23" s="260"/>
      <c r="E23" s="260"/>
      <c r="F23" s="260"/>
      <c r="G23" s="260"/>
      <c r="H23" s="260"/>
      <c r="I23" s="260"/>
      <c r="J23" s="260"/>
      <c r="K23" s="260"/>
      <c r="L23" s="260"/>
      <c r="M23" s="260"/>
      <c r="N23" s="260"/>
      <c r="O23" s="7"/>
      <c r="P23" s="7"/>
      <c r="Q23" s="7"/>
      <c r="R23" s="7"/>
      <c r="S23" s="7"/>
      <c r="T23" s="7"/>
      <c r="U23" s="7"/>
      <c r="V23" s="7"/>
      <c r="W23" s="7"/>
      <c r="X23" s="7"/>
      <c r="Y23" s="7"/>
      <c r="Z23" s="7"/>
    </row>
    <row r="24" ht="13.5" customHeight="1">
      <c r="A24" s="261" t="s">
        <v>1467</v>
      </c>
      <c r="B24" s="39"/>
      <c r="C24" s="39"/>
      <c r="D24" s="39"/>
      <c r="E24" s="39"/>
      <c r="F24" s="39"/>
      <c r="G24" s="39"/>
      <c r="H24" s="39"/>
      <c r="I24" s="39"/>
      <c r="J24" s="39"/>
      <c r="K24" s="39"/>
      <c r="L24" s="39"/>
      <c r="M24" s="39"/>
      <c r="N24" s="40"/>
      <c r="O24" s="7"/>
      <c r="P24" s="7"/>
      <c r="Q24" s="7"/>
      <c r="R24" s="7"/>
      <c r="S24" s="7"/>
      <c r="T24" s="7"/>
      <c r="U24" s="7"/>
      <c r="V24" s="7"/>
      <c r="W24" s="7"/>
      <c r="X24" s="7"/>
      <c r="Y24" s="7"/>
      <c r="Z24" s="7"/>
    </row>
    <row r="25" ht="13.5" customHeight="1">
      <c r="A25" s="275" t="s">
        <v>1470</v>
      </c>
      <c r="B25" s="276" t="s">
        <v>1471</v>
      </c>
      <c r="C25" s="39"/>
      <c r="D25" s="39"/>
      <c r="E25" s="39"/>
      <c r="F25" s="39"/>
      <c r="G25" s="39"/>
      <c r="H25" s="39"/>
      <c r="I25" s="39"/>
      <c r="J25" s="39"/>
      <c r="K25" s="39"/>
      <c r="L25" s="39"/>
      <c r="M25" s="39"/>
      <c r="N25" s="40"/>
      <c r="O25" s="7"/>
      <c r="P25" s="7"/>
      <c r="Q25" s="7"/>
      <c r="R25" s="7"/>
      <c r="S25" s="7"/>
      <c r="T25" s="7"/>
      <c r="U25" s="7"/>
      <c r="V25" s="7"/>
      <c r="W25" s="7"/>
      <c r="X25" s="7"/>
      <c r="Y25" s="7"/>
      <c r="Z25" s="7"/>
    </row>
    <row r="26" ht="13.5" customHeight="1">
      <c r="A26" s="275" t="s">
        <v>1472</v>
      </c>
      <c r="B26" s="276" t="s">
        <v>1473</v>
      </c>
      <c r="C26" s="39"/>
      <c r="D26" s="39"/>
      <c r="E26" s="39"/>
      <c r="F26" s="39"/>
      <c r="G26" s="39"/>
      <c r="H26" s="39"/>
      <c r="I26" s="39"/>
      <c r="J26" s="39"/>
      <c r="K26" s="39"/>
      <c r="L26" s="39"/>
      <c r="M26" s="39"/>
      <c r="N26" s="40"/>
      <c r="O26" s="7"/>
      <c r="P26" s="7"/>
      <c r="Q26" s="7"/>
      <c r="R26" s="7"/>
      <c r="S26" s="7"/>
      <c r="T26" s="7"/>
      <c r="U26" s="7"/>
      <c r="V26" s="7"/>
      <c r="W26" s="7"/>
      <c r="X26" s="7"/>
      <c r="Y26" s="7"/>
      <c r="Z26" s="7"/>
    </row>
    <row r="27" ht="13.5" customHeight="1">
      <c r="A27" s="275" t="s">
        <v>1474</v>
      </c>
      <c r="B27" s="276" t="s">
        <v>1475</v>
      </c>
      <c r="C27" s="39"/>
      <c r="D27" s="39"/>
      <c r="E27" s="39"/>
      <c r="F27" s="39"/>
      <c r="G27" s="39"/>
      <c r="H27" s="39"/>
      <c r="I27" s="39"/>
      <c r="J27" s="39"/>
      <c r="K27" s="39"/>
      <c r="L27" s="39"/>
      <c r="M27" s="39"/>
      <c r="N27" s="40"/>
      <c r="O27" s="7"/>
      <c r="P27" s="7"/>
      <c r="Q27" s="7"/>
      <c r="R27" s="7"/>
      <c r="S27" s="7"/>
      <c r="T27" s="7"/>
      <c r="U27" s="7"/>
      <c r="V27" s="7"/>
      <c r="W27" s="7"/>
      <c r="X27" s="7"/>
      <c r="Y27" s="7"/>
      <c r="Z27" s="7"/>
    </row>
    <row r="28" ht="13.5" customHeight="1">
      <c r="A28" s="275" t="s">
        <v>1476</v>
      </c>
      <c r="B28" s="276" t="s">
        <v>1477</v>
      </c>
      <c r="C28" s="39"/>
      <c r="D28" s="39"/>
      <c r="E28" s="39"/>
      <c r="F28" s="39"/>
      <c r="G28" s="39"/>
      <c r="H28" s="39"/>
      <c r="I28" s="39"/>
      <c r="J28" s="39"/>
      <c r="K28" s="39"/>
      <c r="L28" s="39"/>
      <c r="M28" s="39"/>
      <c r="N28" s="40"/>
      <c r="O28" s="7"/>
      <c r="P28" s="7"/>
      <c r="Q28" s="7"/>
      <c r="R28" s="7"/>
      <c r="S28" s="7"/>
      <c r="T28" s="7"/>
      <c r="U28" s="7"/>
      <c r="V28" s="7"/>
      <c r="W28" s="7"/>
      <c r="X28" s="7"/>
      <c r="Y28" s="7"/>
      <c r="Z28" s="7"/>
    </row>
    <row r="29" ht="13.5" customHeight="1">
      <c r="A29" s="275" t="s">
        <v>1478</v>
      </c>
      <c r="B29" s="276" t="s">
        <v>1479</v>
      </c>
      <c r="C29" s="39"/>
      <c r="D29" s="39"/>
      <c r="E29" s="39"/>
      <c r="F29" s="39"/>
      <c r="G29" s="39"/>
      <c r="H29" s="39"/>
      <c r="I29" s="39"/>
      <c r="J29" s="39"/>
      <c r="K29" s="39"/>
      <c r="L29" s="39"/>
      <c r="M29" s="39"/>
      <c r="N29" s="40"/>
      <c r="O29" s="7"/>
      <c r="P29" s="7"/>
      <c r="Q29" s="7"/>
      <c r="R29" s="7"/>
      <c r="S29" s="7"/>
      <c r="T29" s="7"/>
      <c r="U29" s="7"/>
      <c r="V29" s="7"/>
      <c r="W29" s="7"/>
      <c r="X29" s="7"/>
      <c r="Y29" s="7"/>
      <c r="Z29" s="7"/>
    </row>
    <row r="30" ht="13.5" customHeight="1">
      <c r="A30" s="275" t="s">
        <v>1480</v>
      </c>
      <c r="B30" s="276" t="s">
        <v>1481</v>
      </c>
      <c r="C30" s="39"/>
      <c r="D30" s="39"/>
      <c r="E30" s="39"/>
      <c r="F30" s="39"/>
      <c r="G30" s="39"/>
      <c r="H30" s="39"/>
      <c r="I30" s="39"/>
      <c r="J30" s="39"/>
      <c r="K30" s="39"/>
      <c r="L30" s="39"/>
      <c r="M30" s="39"/>
      <c r="N30" s="40"/>
      <c r="O30" s="7"/>
      <c r="P30" s="7"/>
      <c r="Q30" s="7"/>
      <c r="R30" s="7"/>
      <c r="S30" s="7"/>
      <c r="T30" s="7"/>
      <c r="U30" s="7"/>
      <c r="V30" s="7"/>
      <c r="W30" s="7"/>
      <c r="X30" s="7"/>
      <c r="Y30" s="7"/>
      <c r="Z30" s="7"/>
    </row>
    <row r="31" ht="13.5" customHeight="1">
      <c r="A31" s="275" t="s">
        <v>1482</v>
      </c>
      <c r="B31" s="276" t="s">
        <v>1483</v>
      </c>
      <c r="C31" s="39"/>
      <c r="D31" s="39"/>
      <c r="E31" s="39"/>
      <c r="F31" s="39"/>
      <c r="G31" s="39"/>
      <c r="H31" s="39"/>
      <c r="I31" s="39"/>
      <c r="J31" s="39"/>
      <c r="K31" s="39"/>
      <c r="L31" s="39"/>
      <c r="M31" s="39"/>
      <c r="N31" s="40"/>
      <c r="O31" s="7"/>
      <c r="P31" s="7"/>
      <c r="Q31" s="7"/>
      <c r="R31" s="7"/>
      <c r="S31" s="7"/>
      <c r="T31" s="7"/>
      <c r="U31" s="7"/>
      <c r="V31" s="7"/>
      <c r="W31" s="7"/>
      <c r="X31" s="7"/>
      <c r="Y31" s="7"/>
      <c r="Z31" s="7"/>
    </row>
    <row r="32" ht="13.5" customHeight="1">
      <c r="A32" s="275" t="s">
        <v>1484</v>
      </c>
      <c r="B32" s="276" t="s">
        <v>1485</v>
      </c>
      <c r="C32" s="39"/>
      <c r="D32" s="39"/>
      <c r="E32" s="39"/>
      <c r="F32" s="39"/>
      <c r="G32" s="39"/>
      <c r="H32" s="39"/>
      <c r="I32" s="39"/>
      <c r="J32" s="39"/>
      <c r="K32" s="39"/>
      <c r="L32" s="39"/>
      <c r="M32" s="39"/>
      <c r="N32" s="40"/>
      <c r="O32" s="7"/>
      <c r="P32" s="7"/>
      <c r="Q32" s="7"/>
      <c r="R32" s="7"/>
      <c r="S32" s="7"/>
      <c r="T32" s="7"/>
      <c r="U32" s="7"/>
      <c r="V32" s="7"/>
      <c r="W32" s="7"/>
      <c r="X32" s="7"/>
      <c r="Y32" s="7"/>
      <c r="Z32" s="7"/>
    </row>
    <row r="33" ht="13.5" customHeight="1">
      <c r="A33" s="275" t="s">
        <v>1486</v>
      </c>
      <c r="B33" s="276" t="s">
        <v>1487</v>
      </c>
      <c r="C33" s="39"/>
      <c r="D33" s="39"/>
      <c r="E33" s="39"/>
      <c r="F33" s="39"/>
      <c r="G33" s="39"/>
      <c r="H33" s="39"/>
      <c r="I33" s="39"/>
      <c r="J33" s="39"/>
      <c r="K33" s="39"/>
      <c r="L33" s="39"/>
      <c r="M33" s="39"/>
      <c r="N33" s="40"/>
      <c r="O33" s="7"/>
      <c r="P33" s="7"/>
      <c r="Q33" s="7"/>
      <c r="R33" s="7"/>
      <c r="S33" s="7"/>
      <c r="T33" s="7"/>
      <c r="U33" s="7"/>
      <c r="V33" s="7"/>
      <c r="W33" s="7"/>
      <c r="X33" s="7"/>
      <c r="Y33" s="7"/>
      <c r="Z33" s="7"/>
    </row>
    <row r="34" ht="13.5" customHeight="1">
      <c r="A34" s="275" t="s">
        <v>1488</v>
      </c>
      <c r="B34" s="276" t="s">
        <v>1489</v>
      </c>
      <c r="C34" s="39"/>
      <c r="D34" s="39"/>
      <c r="E34" s="39"/>
      <c r="F34" s="39"/>
      <c r="G34" s="39"/>
      <c r="H34" s="39"/>
      <c r="I34" s="39"/>
      <c r="J34" s="39"/>
      <c r="K34" s="39"/>
      <c r="L34" s="39"/>
      <c r="M34" s="39"/>
      <c r="N34" s="40"/>
      <c r="O34" s="7"/>
      <c r="P34" s="7"/>
      <c r="Q34" s="7"/>
      <c r="R34" s="7"/>
      <c r="S34" s="7"/>
      <c r="T34" s="7"/>
      <c r="U34" s="7"/>
      <c r="V34" s="7"/>
      <c r="W34" s="7"/>
      <c r="X34" s="7"/>
      <c r="Y34" s="7"/>
      <c r="Z34" s="7"/>
    </row>
    <row r="35" ht="13.5" customHeight="1">
      <c r="A35" s="275" t="s">
        <v>1490</v>
      </c>
      <c r="B35" s="276" t="s">
        <v>1491</v>
      </c>
      <c r="C35" s="39"/>
      <c r="D35" s="39"/>
      <c r="E35" s="39"/>
      <c r="F35" s="39"/>
      <c r="G35" s="39"/>
      <c r="H35" s="39"/>
      <c r="I35" s="39"/>
      <c r="J35" s="39"/>
      <c r="K35" s="39"/>
      <c r="L35" s="39"/>
      <c r="M35" s="39"/>
      <c r="N35" s="40"/>
      <c r="O35" s="7"/>
      <c r="P35" s="7"/>
      <c r="Q35" s="7"/>
      <c r="R35" s="7"/>
      <c r="S35" s="7"/>
      <c r="T35" s="7"/>
      <c r="U35" s="7"/>
      <c r="V35" s="7"/>
      <c r="W35" s="7"/>
      <c r="X35" s="7"/>
      <c r="Y35" s="7"/>
      <c r="Z35" s="7"/>
    </row>
    <row r="36" ht="13.5" customHeight="1">
      <c r="A36" s="260"/>
      <c r="B36" s="260"/>
      <c r="C36" s="260"/>
      <c r="D36" s="260"/>
      <c r="E36" s="260"/>
      <c r="F36" s="260"/>
      <c r="G36" s="260"/>
      <c r="H36" s="260"/>
      <c r="I36" s="260"/>
      <c r="J36" s="260"/>
      <c r="K36" s="260"/>
      <c r="L36" s="260"/>
      <c r="M36" s="260"/>
      <c r="N36" s="260"/>
      <c r="O36" s="7"/>
      <c r="P36" s="7"/>
      <c r="Q36" s="7"/>
      <c r="R36" s="7"/>
      <c r="S36" s="7"/>
      <c r="T36" s="7"/>
      <c r="U36" s="7"/>
      <c r="V36" s="7"/>
      <c r="W36" s="7"/>
      <c r="X36" s="7"/>
      <c r="Y36" s="7"/>
      <c r="Z36" s="7"/>
    </row>
    <row r="37" ht="13.5" customHeight="1">
      <c r="A37" s="260"/>
      <c r="B37" s="260"/>
      <c r="C37" s="260"/>
      <c r="D37" s="260"/>
      <c r="E37" s="260"/>
      <c r="F37" s="260"/>
      <c r="G37" s="260"/>
      <c r="H37" s="260"/>
      <c r="I37" s="260"/>
      <c r="J37" s="260"/>
      <c r="K37" s="260"/>
      <c r="L37" s="260"/>
      <c r="M37" s="260"/>
      <c r="N37" s="260"/>
      <c r="O37" s="7"/>
      <c r="P37" s="7"/>
      <c r="Q37" s="7"/>
      <c r="R37" s="7"/>
      <c r="S37" s="7"/>
      <c r="T37" s="7"/>
      <c r="U37" s="7"/>
      <c r="V37" s="7"/>
      <c r="W37" s="7"/>
      <c r="X37" s="7"/>
      <c r="Y37" s="7"/>
      <c r="Z37" s="7"/>
    </row>
    <row r="38" ht="13.5" customHeight="1">
      <c r="A38" s="267" t="s">
        <v>1492</v>
      </c>
      <c r="B38" s="4"/>
      <c r="C38" s="4"/>
      <c r="D38" s="4"/>
      <c r="E38" s="4"/>
      <c r="F38" s="4"/>
      <c r="G38" s="4"/>
      <c r="H38" s="4"/>
      <c r="I38" s="4"/>
      <c r="J38" s="4"/>
      <c r="K38" s="4"/>
      <c r="L38" s="4"/>
      <c r="M38" s="4"/>
      <c r="N38" s="6"/>
      <c r="O38" s="7"/>
      <c r="P38" s="7"/>
      <c r="Q38" s="7"/>
      <c r="R38" s="7"/>
      <c r="S38" s="7"/>
      <c r="T38" s="7"/>
      <c r="U38" s="7"/>
      <c r="V38" s="7"/>
      <c r="W38" s="7"/>
      <c r="X38" s="7"/>
      <c r="Y38" s="7"/>
      <c r="Z38" s="7"/>
    </row>
    <row r="39" ht="13.5" customHeight="1">
      <c r="A39" s="262" t="s">
        <v>0</v>
      </c>
      <c r="B39" s="262" t="s">
        <v>165</v>
      </c>
      <c r="C39" s="262" t="s">
        <v>166</v>
      </c>
      <c r="D39" s="262" t="s">
        <v>167</v>
      </c>
      <c r="E39" s="262" t="s">
        <v>168</v>
      </c>
      <c r="F39" s="262" t="s">
        <v>169</v>
      </c>
      <c r="G39" s="277"/>
      <c r="H39" s="260"/>
      <c r="I39" s="260"/>
      <c r="J39" s="260"/>
      <c r="K39" s="260"/>
      <c r="L39" s="260"/>
      <c r="M39" s="260"/>
      <c r="N39" s="260"/>
      <c r="O39" s="7"/>
      <c r="P39" s="7"/>
      <c r="Q39" s="7"/>
      <c r="R39" s="7"/>
      <c r="S39" s="7"/>
      <c r="T39" s="7"/>
      <c r="U39" s="7"/>
      <c r="V39" s="7"/>
      <c r="W39" s="7"/>
      <c r="X39" s="7"/>
      <c r="Y39" s="7"/>
      <c r="Z39" s="7"/>
    </row>
    <row r="40" ht="13.5" customHeight="1">
      <c r="A40" s="31" t="s">
        <v>1493</v>
      </c>
      <c r="B40" s="278">
        <f t="shared" ref="B40:D40" si="16">D21</f>
        <v>6124400</v>
      </c>
      <c r="C40" s="278">
        <f t="shared" si="16"/>
        <v>7655500</v>
      </c>
      <c r="D40" s="278">
        <f t="shared" si="16"/>
        <v>9799040</v>
      </c>
      <c r="E40" s="279">
        <f>'Task 2_Conversion &amp; Forecast'!G11</f>
        <v>10419645.87</v>
      </c>
      <c r="F40" s="279">
        <f>'Task 2_Conversion &amp; Forecast'!H11</f>
        <v>11079556.77</v>
      </c>
      <c r="G40" s="260"/>
      <c r="H40" s="260"/>
      <c r="I40" s="260"/>
      <c r="J40" s="260"/>
      <c r="K40" s="260"/>
      <c r="L40" s="260"/>
      <c r="M40" s="260"/>
      <c r="N40" s="260"/>
      <c r="O40" s="7"/>
      <c r="P40" s="7"/>
      <c r="Q40" s="7"/>
      <c r="R40" s="7"/>
      <c r="S40" s="7"/>
      <c r="T40" s="7"/>
      <c r="U40" s="7"/>
      <c r="V40" s="7"/>
      <c r="W40" s="7"/>
      <c r="X40" s="7"/>
      <c r="Y40" s="7"/>
      <c r="Z40" s="7"/>
    </row>
    <row r="41" ht="13.5" customHeight="1">
      <c r="A41" s="31" t="s">
        <v>1495</v>
      </c>
      <c r="B41" s="280">
        <f>'Task 2_Conversion &amp; Forecast'!D20</f>
        <v>0.9180327869</v>
      </c>
      <c r="C41" s="280">
        <f>'Task 2_Conversion &amp; Forecast'!E20</f>
        <v>0.904</v>
      </c>
      <c r="D41" s="280">
        <f>'Task 2_Conversion &amp; Forecast'!F20</f>
        <v>0.8828125</v>
      </c>
      <c r="E41" s="280">
        <f>'Task 2_Conversion &amp; Forecast'!G20</f>
        <v>0.7348430178</v>
      </c>
      <c r="F41" s="280">
        <f>'Task 2_Conversion &amp; Forecast'!H20</f>
        <v>0.5528599507</v>
      </c>
      <c r="G41" s="260"/>
      <c r="H41" s="260"/>
      <c r="I41" s="260"/>
      <c r="J41" s="260"/>
      <c r="K41" s="260"/>
      <c r="L41" s="260"/>
      <c r="M41" s="260"/>
      <c r="N41" s="260"/>
      <c r="O41" s="7"/>
      <c r="P41" s="7"/>
      <c r="Q41" s="7"/>
      <c r="R41" s="7"/>
      <c r="S41" s="7"/>
      <c r="T41" s="7"/>
      <c r="U41" s="7"/>
      <c r="V41" s="7"/>
      <c r="W41" s="7"/>
      <c r="X41" s="7"/>
      <c r="Y41" s="7"/>
      <c r="Z41" s="7"/>
    </row>
    <row r="42" ht="13.5" customHeight="1">
      <c r="A42" s="31" t="s">
        <v>222</v>
      </c>
      <c r="B42" s="281">
        <f t="shared" ref="B42:F42" si="17">B40*B41</f>
        <v>5622400</v>
      </c>
      <c r="C42" s="281">
        <f t="shared" si="17"/>
        <v>6920572</v>
      </c>
      <c r="D42" s="281">
        <f t="shared" si="17"/>
        <v>8650715</v>
      </c>
      <c r="E42" s="281">
        <f t="shared" si="17"/>
        <v>7656804.013</v>
      </c>
      <c r="F42" s="281">
        <f t="shared" si="17"/>
        <v>6125443.21</v>
      </c>
      <c r="G42" s="260"/>
      <c r="H42" s="260"/>
      <c r="I42" s="260"/>
      <c r="J42" s="260"/>
      <c r="K42" s="260"/>
      <c r="L42" s="260"/>
      <c r="M42" s="260"/>
      <c r="N42" s="260"/>
      <c r="O42" s="7"/>
      <c r="P42" s="7"/>
      <c r="Q42" s="7"/>
      <c r="R42" s="7"/>
      <c r="S42" s="7"/>
      <c r="T42" s="7"/>
      <c r="U42" s="7"/>
      <c r="V42" s="7"/>
      <c r="W42" s="7"/>
      <c r="X42" s="7"/>
      <c r="Y42" s="7"/>
      <c r="Z42" s="7"/>
    </row>
    <row r="43" ht="13.5" customHeight="1">
      <c r="A43" s="31" t="s">
        <v>1500</v>
      </c>
      <c r="B43" s="282">
        <f>SUMPRODUCT('EXW Price'!$G$6:$G$10,'EXW Price'!$H$6:$H$10)/SUM('EXW Price'!$H$6:$H$10)</f>
        <v>3.841486828</v>
      </c>
      <c r="C43" s="282">
        <f t="shared" ref="C43:F43" si="18">B43</f>
        <v>3.841486828</v>
      </c>
      <c r="D43" s="282">
        <f t="shared" si="18"/>
        <v>3.841486828</v>
      </c>
      <c r="E43" s="282">
        <f t="shared" si="18"/>
        <v>3.841486828</v>
      </c>
      <c r="F43" s="282">
        <f t="shared" si="18"/>
        <v>3.841486828</v>
      </c>
      <c r="G43" s="260"/>
      <c r="H43" s="260"/>
      <c r="I43" s="260"/>
      <c r="J43" s="260"/>
      <c r="K43" s="260"/>
      <c r="L43" s="260"/>
      <c r="M43" s="260"/>
      <c r="N43" s="260"/>
      <c r="O43" s="7"/>
      <c r="P43" s="7"/>
      <c r="Q43" s="7"/>
      <c r="R43" s="7"/>
      <c r="S43" s="7"/>
      <c r="T43" s="7"/>
      <c r="U43" s="7"/>
      <c r="V43" s="7"/>
      <c r="W43" s="7"/>
      <c r="X43" s="7"/>
      <c r="Y43" s="7"/>
      <c r="Z43" s="7"/>
    </row>
    <row r="44" ht="13.5" customHeight="1">
      <c r="A44" s="31" t="s">
        <v>337</v>
      </c>
      <c r="B44" s="283">
        <f t="shared" ref="B44:F44" si="19">B42*B43</f>
        <v>21598375.54</v>
      </c>
      <c r="C44" s="283">
        <f t="shared" si="19"/>
        <v>26585286.18</v>
      </c>
      <c r="D44" s="283">
        <f t="shared" si="19"/>
        <v>33231607.73</v>
      </c>
      <c r="E44" s="283">
        <f t="shared" si="19"/>
        <v>29413511.76</v>
      </c>
      <c r="F44" s="283">
        <f t="shared" si="19"/>
        <v>23530809.41</v>
      </c>
      <c r="G44" s="260"/>
      <c r="H44" s="260"/>
      <c r="I44" s="260"/>
      <c r="J44" s="260"/>
      <c r="K44" s="260"/>
      <c r="L44" s="260"/>
      <c r="M44" s="260"/>
      <c r="N44" s="260"/>
      <c r="O44" s="7"/>
      <c r="P44" s="7"/>
      <c r="Q44" s="7"/>
      <c r="R44" s="7"/>
      <c r="S44" s="7"/>
      <c r="T44" s="7"/>
      <c r="U44" s="7"/>
      <c r="V44" s="7"/>
      <c r="W44" s="7"/>
      <c r="X44" s="7"/>
      <c r="Y44" s="7"/>
      <c r="Z44" s="7"/>
    </row>
    <row r="45" ht="13.5" customHeight="1">
      <c r="A45" s="31" t="s">
        <v>1505</v>
      </c>
      <c r="B45" s="282">
        <f>SUMPRODUCT(COGS!$K$14:$K$18,COGS!$L$14:$L$18)/SUM(COGS!$L$14:$L$18)</f>
        <v>3.052481315</v>
      </c>
      <c r="C45" s="282">
        <f t="shared" ref="C45:F45" si="20">B45</f>
        <v>3.052481315</v>
      </c>
      <c r="D45" s="282">
        <f t="shared" si="20"/>
        <v>3.052481315</v>
      </c>
      <c r="E45" s="282">
        <f t="shared" si="20"/>
        <v>3.052481315</v>
      </c>
      <c r="F45" s="282">
        <f t="shared" si="20"/>
        <v>3.052481315</v>
      </c>
      <c r="G45" s="260"/>
      <c r="H45" s="260"/>
      <c r="I45" s="260"/>
      <c r="J45" s="260"/>
      <c r="K45" s="260"/>
      <c r="L45" s="260"/>
      <c r="M45" s="260"/>
      <c r="N45" s="260"/>
      <c r="O45" s="7"/>
      <c r="P45" s="7"/>
      <c r="Q45" s="7"/>
      <c r="R45" s="7"/>
      <c r="S45" s="7"/>
      <c r="T45" s="7"/>
      <c r="U45" s="7"/>
      <c r="V45" s="7"/>
      <c r="W45" s="7"/>
      <c r="X45" s="7"/>
      <c r="Y45" s="7"/>
      <c r="Z45" s="7"/>
    </row>
    <row r="46" ht="13.5" customHeight="1">
      <c r="A46" s="31" t="s">
        <v>1506</v>
      </c>
      <c r="B46" s="283">
        <f t="shared" ref="B46:F46" si="21">B42*B45</f>
        <v>17162270.94</v>
      </c>
      <c r="C46" s="283">
        <f t="shared" si="21"/>
        <v>21124916.72</v>
      </c>
      <c r="D46" s="283">
        <f t="shared" si="21"/>
        <v>26406145.9</v>
      </c>
      <c r="E46" s="283">
        <f t="shared" si="21"/>
        <v>23372251.18</v>
      </c>
      <c r="F46" s="283">
        <f t="shared" si="21"/>
        <v>18697800.94</v>
      </c>
      <c r="G46" s="260"/>
      <c r="H46" s="260"/>
      <c r="I46" s="260"/>
      <c r="J46" s="260"/>
      <c r="K46" s="260"/>
      <c r="L46" s="260"/>
      <c r="M46" s="260"/>
      <c r="N46" s="260"/>
      <c r="O46" s="7"/>
      <c r="P46" s="7"/>
      <c r="Q46" s="7"/>
      <c r="R46" s="7"/>
      <c r="S46" s="7"/>
      <c r="T46" s="7"/>
      <c r="U46" s="7"/>
      <c r="V46" s="7"/>
      <c r="W46" s="7"/>
      <c r="X46" s="7"/>
      <c r="Y46" s="7"/>
      <c r="Z46" s="7"/>
    </row>
    <row r="47" ht="13.5" customHeight="1">
      <c r="A47" s="31" t="s">
        <v>1507</v>
      </c>
      <c r="B47" s="284">
        <f>'Task 1_ESG Roadmap'!I21</f>
        <v>896500</v>
      </c>
      <c r="C47" s="284">
        <f>'Task 1_ESG Roadmap'!J21</f>
        <v>44000</v>
      </c>
      <c r="D47" s="284">
        <f>'Task 1_ESG Roadmap'!K21</f>
        <v>0</v>
      </c>
      <c r="E47" s="284">
        <f>'Task 1_ESG Roadmap'!L21</f>
        <v>0</v>
      </c>
      <c r="F47" s="284">
        <f>'Task 1_ESG Roadmap'!M21</f>
        <v>0</v>
      </c>
      <c r="G47" s="260"/>
      <c r="H47" s="260"/>
      <c r="I47" s="260"/>
      <c r="J47" s="260"/>
      <c r="K47" s="260"/>
      <c r="L47" s="260"/>
      <c r="M47" s="260"/>
      <c r="N47" s="260"/>
      <c r="O47" s="7"/>
      <c r="P47" s="7"/>
      <c r="Q47" s="7"/>
      <c r="R47" s="7"/>
      <c r="S47" s="7"/>
      <c r="T47" s="7"/>
      <c r="U47" s="7"/>
      <c r="V47" s="7"/>
      <c r="W47" s="7"/>
      <c r="X47" s="7"/>
      <c r="Y47" s="7"/>
      <c r="Z47" s="7"/>
    </row>
    <row r="48" ht="13.5" customHeight="1">
      <c r="A48" s="31" t="s">
        <v>1510</v>
      </c>
      <c r="B48" s="280">
        <f>'Task 1_ESG Roadmap'!I23</f>
        <v>0.9532163743</v>
      </c>
      <c r="C48" s="280">
        <f>'Task 1_ESG Roadmap'!J23</f>
        <v>1</v>
      </c>
      <c r="D48" s="280">
        <f>'Task 1_ESG Roadmap'!K23</f>
        <v>1</v>
      </c>
      <c r="E48" s="280">
        <f>'Task 1_ESG Roadmap'!L23</f>
        <v>1</v>
      </c>
      <c r="F48" s="280">
        <f>'Task 1_ESG Roadmap'!M23</f>
        <v>1</v>
      </c>
      <c r="G48" s="260"/>
      <c r="H48" s="260"/>
      <c r="I48" s="260"/>
      <c r="J48" s="260"/>
      <c r="K48" s="260"/>
      <c r="L48" s="260"/>
      <c r="M48" s="260"/>
      <c r="N48" s="260"/>
      <c r="O48" s="7"/>
      <c r="P48" s="7"/>
      <c r="Q48" s="7"/>
      <c r="R48" s="7"/>
      <c r="S48" s="7"/>
      <c r="T48" s="7"/>
      <c r="U48" s="7"/>
      <c r="V48" s="7"/>
      <c r="W48" s="7"/>
      <c r="X48" s="7"/>
      <c r="Y48" s="7"/>
      <c r="Z48" s="7"/>
    </row>
    <row r="49" ht="13.5" customHeight="1">
      <c r="A49" s="31" t="s">
        <v>1513</v>
      </c>
      <c r="B49" s="284">
        <f>'Task 1_ESG Roadmap'!D94</f>
        <v>179300</v>
      </c>
      <c r="C49" s="284">
        <f>'Task 1_ESG Roadmap'!E94</f>
        <v>188100</v>
      </c>
      <c r="D49" s="284">
        <f>'Task 1_ESG Roadmap'!F94</f>
        <v>188100</v>
      </c>
      <c r="E49" s="284">
        <f>'Task 1_ESG Roadmap'!G94</f>
        <v>188100</v>
      </c>
      <c r="F49" s="284">
        <f>'Task 1_ESG Roadmap'!H94</f>
        <v>188100</v>
      </c>
      <c r="G49" s="260"/>
      <c r="H49" s="260"/>
      <c r="I49" s="260"/>
      <c r="J49" s="260"/>
      <c r="K49" s="260"/>
      <c r="L49" s="260"/>
      <c r="M49" s="260"/>
      <c r="N49" s="260"/>
      <c r="O49" s="7"/>
      <c r="P49" s="7"/>
      <c r="Q49" s="7"/>
      <c r="R49" s="7"/>
      <c r="S49" s="7"/>
      <c r="T49" s="7"/>
      <c r="U49" s="7"/>
      <c r="V49" s="7"/>
      <c r="W49" s="7"/>
      <c r="X49" s="7"/>
      <c r="Y49" s="7"/>
      <c r="Z49" s="7"/>
    </row>
    <row r="50" ht="13.5" customHeight="1">
      <c r="A50" s="31" t="s">
        <v>1514</v>
      </c>
      <c r="B50" s="287">
        <f>'Task 3_P&amp;L'!D67</f>
        <v>231580.2746</v>
      </c>
      <c r="C50" s="287">
        <f>'Task 3_P&amp;L'!E67</f>
        <v>487729.7333</v>
      </c>
      <c r="D50" s="287">
        <f>'Task 3_P&amp;L'!F67</f>
        <v>798515.0784</v>
      </c>
      <c r="E50" s="287">
        <f>'Task 3_P&amp;L'!G67</f>
        <v>706910.776</v>
      </c>
      <c r="F50" s="287">
        <f>'Task 3_P&amp;L'!H67</f>
        <v>568740.9247</v>
      </c>
      <c r="G50" s="260"/>
      <c r="H50" s="260"/>
      <c r="I50" s="260"/>
      <c r="J50" s="260"/>
      <c r="K50" s="260"/>
      <c r="L50" s="260"/>
      <c r="M50" s="260"/>
      <c r="N50" s="260"/>
      <c r="O50" s="7"/>
      <c r="P50" s="7"/>
      <c r="Q50" s="7"/>
      <c r="R50" s="7"/>
      <c r="S50" s="7"/>
      <c r="T50" s="7"/>
      <c r="U50" s="7"/>
      <c r="V50" s="7"/>
      <c r="W50" s="7"/>
      <c r="X50" s="7"/>
      <c r="Y50" s="7"/>
      <c r="Z50" s="7"/>
    </row>
    <row r="51" ht="13.5" customHeight="1">
      <c r="A51" s="31" t="s">
        <v>1515</v>
      </c>
      <c r="B51" s="287">
        <f>'Task 3_P&amp;L'!D24</f>
        <v>1459818.776</v>
      </c>
      <c r="C51" s="287">
        <f>'Task 3_P&amp;L'!E24</f>
        <v>1696697.031</v>
      </c>
      <c r="D51" s="287">
        <f>'Task 3_P&amp;L'!F24</f>
        <v>2012397.304</v>
      </c>
      <c r="E51" s="287">
        <f>'Task 3_P&amp;L'!G24</f>
        <v>1831037.746</v>
      </c>
      <c r="F51" s="287">
        <f>'Task 3_P&amp;L'!H24</f>
        <v>1551609.384</v>
      </c>
      <c r="G51" s="260"/>
      <c r="H51" s="260"/>
      <c r="I51" s="260"/>
      <c r="J51" s="260"/>
      <c r="K51" s="260"/>
      <c r="L51" s="260"/>
      <c r="M51" s="260"/>
      <c r="N51" s="260"/>
      <c r="O51" s="7"/>
      <c r="P51" s="7"/>
      <c r="Q51" s="7"/>
      <c r="R51" s="7"/>
      <c r="S51" s="7"/>
      <c r="T51" s="7"/>
      <c r="U51" s="7"/>
      <c r="V51" s="7"/>
      <c r="W51" s="7"/>
      <c r="X51" s="7"/>
      <c r="Y51" s="7"/>
      <c r="Z51" s="7"/>
    </row>
    <row r="52" ht="13.5" customHeight="1">
      <c r="A52" s="31" t="s">
        <v>1516</v>
      </c>
      <c r="B52" s="288">
        <f t="shared" ref="B52:F52" si="22">B44-B46-B49-B50-B51</f>
        <v>2565405.55</v>
      </c>
      <c r="C52" s="288">
        <f t="shared" si="22"/>
        <v>3087842.702</v>
      </c>
      <c r="D52" s="288">
        <f t="shared" si="22"/>
        <v>3826449.45</v>
      </c>
      <c r="E52" s="288">
        <f t="shared" si="22"/>
        <v>3315212.062</v>
      </c>
      <c r="F52" s="288">
        <f t="shared" si="22"/>
        <v>2524558.158</v>
      </c>
      <c r="G52" s="260"/>
      <c r="H52" s="260"/>
      <c r="I52" s="260"/>
      <c r="J52" s="260"/>
      <c r="K52" s="260"/>
      <c r="L52" s="260"/>
      <c r="M52" s="260"/>
      <c r="N52" s="260"/>
      <c r="O52" s="7"/>
      <c r="P52" s="7"/>
      <c r="Q52" s="7"/>
      <c r="R52" s="7"/>
      <c r="S52" s="7"/>
      <c r="T52" s="7"/>
      <c r="U52" s="7"/>
      <c r="V52" s="7"/>
      <c r="W52" s="7"/>
      <c r="X52" s="7"/>
      <c r="Y52" s="7"/>
      <c r="Z52" s="7"/>
    </row>
    <row r="53" ht="13.5" customHeight="1">
      <c r="A53" s="31" t="s">
        <v>1517</v>
      </c>
      <c r="B53" s="287">
        <f>'Task 3_P&amp;L'!D26+'Task 3_P&amp;L'!D28</f>
        <v>513081.11</v>
      </c>
      <c r="C53" s="287">
        <f>'Task 3_P&amp;L'!E26+'Task 3_P&amp;L'!E28</f>
        <v>617568.5403</v>
      </c>
      <c r="D53" s="287">
        <f>'Task 3_P&amp;L'!F26+'Task 3_P&amp;L'!F28</f>
        <v>765289.8899</v>
      </c>
      <c r="E53" s="287">
        <f>'Task 3_P&amp;L'!G26+'Task 3_P&amp;L'!G28</f>
        <v>663042.4123</v>
      </c>
      <c r="F53" s="287">
        <f>'Task 3_P&amp;L'!H26+'Task 3_P&amp;L'!H28</f>
        <v>504911.6316</v>
      </c>
      <c r="G53" s="260"/>
      <c r="H53" s="260"/>
      <c r="I53" s="260"/>
      <c r="J53" s="260"/>
      <c r="K53" s="260"/>
      <c r="L53" s="260"/>
      <c r="M53" s="260"/>
      <c r="N53" s="260"/>
      <c r="O53" s="7"/>
      <c r="P53" s="7"/>
      <c r="Q53" s="7"/>
      <c r="R53" s="7"/>
      <c r="S53" s="7"/>
      <c r="T53" s="7"/>
      <c r="U53" s="7"/>
      <c r="V53" s="7"/>
      <c r="W53" s="7"/>
      <c r="X53" s="7"/>
      <c r="Y53" s="7"/>
      <c r="Z53" s="7"/>
    </row>
    <row r="54" ht="13.5" customHeight="1">
      <c r="A54" s="31" t="s">
        <v>1518</v>
      </c>
      <c r="B54" s="288">
        <f t="shared" ref="B54:F54" si="23">B52-B53</f>
        <v>2052324.44</v>
      </c>
      <c r="C54" s="288">
        <f t="shared" si="23"/>
        <v>2470274.161</v>
      </c>
      <c r="D54" s="288">
        <f t="shared" si="23"/>
        <v>3061159.56</v>
      </c>
      <c r="E54" s="288">
        <f t="shared" si="23"/>
        <v>2652169.649</v>
      </c>
      <c r="F54" s="288">
        <f t="shared" si="23"/>
        <v>2019646.526</v>
      </c>
      <c r="G54" s="260"/>
      <c r="H54" s="260"/>
      <c r="I54" s="260"/>
      <c r="J54" s="260"/>
      <c r="K54" s="260"/>
      <c r="L54" s="260"/>
      <c r="M54" s="260"/>
      <c r="N54" s="260"/>
      <c r="O54" s="7"/>
      <c r="P54" s="7"/>
      <c r="Q54" s="7"/>
      <c r="R54" s="7"/>
      <c r="S54" s="7"/>
      <c r="T54" s="7"/>
      <c r="U54" s="7"/>
      <c r="V54" s="7"/>
      <c r="W54" s="7"/>
      <c r="X54" s="7"/>
      <c r="Y54" s="7"/>
      <c r="Z54" s="7"/>
    </row>
    <row r="55" ht="13.5" customHeight="1">
      <c r="A55" s="31" t="s">
        <v>1519</v>
      </c>
      <c r="B55" s="289">
        <f t="shared" ref="B55:D55" si="24">B54/B44</f>
        <v>0.09502216663</v>
      </c>
      <c r="C55" s="289">
        <f t="shared" si="24"/>
        <v>0.09291884783</v>
      </c>
      <c r="D55" s="289">
        <f t="shared" si="24"/>
        <v>0.09211590317</v>
      </c>
      <c r="E55" s="289">
        <f t="shared" ref="E55:F55" si="25">IFERROR(E54/E44,"")</f>
        <v>0.09016841207</v>
      </c>
      <c r="F55" s="289">
        <f t="shared" si="25"/>
        <v>0.08582987908</v>
      </c>
      <c r="G55" s="260"/>
      <c r="H55" s="260"/>
      <c r="I55" s="260"/>
      <c r="J55" s="260"/>
      <c r="K55" s="260"/>
      <c r="L55" s="260"/>
      <c r="M55" s="260"/>
      <c r="N55" s="260"/>
      <c r="O55" s="7"/>
      <c r="P55" s="7"/>
      <c r="Q55" s="7"/>
      <c r="R55" s="7"/>
      <c r="S55" s="7"/>
      <c r="T55" s="7"/>
      <c r="U55" s="7"/>
      <c r="V55" s="7"/>
      <c r="W55" s="7"/>
      <c r="X55" s="7"/>
      <c r="Y55" s="7"/>
      <c r="Z55" s="7"/>
    </row>
    <row r="56" ht="13.5" customHeight="1">
      <c r="A56" s="31" t="s">
        <v>1520</v>
      </c>
      <c r="B56" s="290" t="s">
        <v>1521</v>
      </c>
      <c r="C56" s="290" t="s">
        <v>1522</v>
      </c>
      <c r="D56" s="290" t="s">
        <v>1523</v>
      </c>
      <c r="E56" s="290" t="s">
        <v>1523</v>
      </c>
      <c r="F56" s="290" t="s">
        <v>1523</v>
      </c>
      <c r="G56" s="260"/>
      <c r="H56" s="260"/>
      <c r="I56" s="260"/>
      <c r="J56" s="260"/>
      <c r="K56" s="260"/>
      <c r="L56" s="260"/>
      <c r="M56" s="260"/>
      <c r="N56" s="260"/>
      <c r="O56" s="7"/>
      <c r="P56" s="7"/>
      <c r="Q56" s="7"/>
      <c r="R56" s="7"/>
      <c r="S56" s="7"/>
      <c r="T56" s="7"/>
      <c r="U56" s="7"/>
      <c r="V56" s="7"/>
      <c r="W56" s="7"/>
      <c r="X56" s="7"/>
      <c r="Y56" s="7"/>
      <c r="Z56" s="7"/>
    </row>
    <row r="57" ht="13.5" customHeight="1">
      <c r="A57" s="260"/>
      <c r="B57" s="260"/>
      <c r="C57" s="260"/>
      <c r="D57" s="260"/>
      <c r="E57" s="260"/>
      <c r="F57" s="260"/>
      <c r="G57" s="260"/>
      <c r="H57" s="260"/>
      <c r="I57" s="260"/>
      <c r="J57" s="260"/>
      <c r="K57" s="260"/>
      <c r="L57" s="260"/>
      <c r="M57" s="260"/>
      <c r="N57" s="260"/>
      <c r="O57" s="7"/>
      <c r="P57" s="7"/>
      <c r="Q57" s="7"/>
      <c r="R57" s="7"/>
      <c r="S57" s="7"/>
      <c r="T57" s="7"/>
      <c r="U57" s="7"/>
      <c r="V57" s="7"/>
      <c r="W57" s="7"/>
      <c r="X57" s="7"/>
      <c r="Y57" s="7"/>
      <c r="Z57" s="7"/>
    </row>
    <row r="58" ht="13.5" customHeight="1">
      <c r="A58" s="260"/>
      <c r="B58" s="260"/>
      <c r="C58" s="260"/>
      <c r="D58" s="260"/>
      <c r="E58" s="260"/>
      <c r="F58" s="260"/>
      <c r="G58" s="260"/>
      <c r="H58" s="260"/>
      <c r="I58" s="260"/>
      <c r="J58" s="260"/>
      <c r="K58" s="260"/>
      <c r="L58" s="260"/>
      <c r="M58" s="260"/>
      <c r="N58" s="260"/>
      <c r="O58" s="7"/>
      <c r="P58" s="7"/>
      <c r="Q58" s="7"/>
      <c r="R58" s="7"/>
      <c r="S58" s="7"/>
      <c r="T58" s="7"/>
      <c r="U58" s="7"/>
      <c r="V58" s="7"/>
      <c r="W58" s="7"/>
      <c r="X58" s="7"/>
      <c r="Y58" s="7"/>
      <c r="Z58" s="7"/>
    </row>
    <row r="59" ht="13.5" customHeight="1">
      <c r="A59" s="267" t="s">
        <v>1524</v>
      </c>
      <c r="B59" s="4"/>
      <c r="C59" s="4"/>
      <c r="D59" s="4"/>
      <c r="E59" s="4"/>
      <c r="F59" s="4"/>
      <c r="G59" s="4"/>
      <c r="H59" s="4"/>
      <c r="I59" s="4"/>
      <c r="J59" s="4"/>
      <c r="K59" s="4"/>
      <c r="L59" s="4"/>
      <c r="M59" s="4"/>
      <c r="N59" s="6"/>
      <c r="O59" s="7"/>
      <c r="P59" s="7"/>
      <c r="Q59" s="7"/>
      <c r="R59" s="7"/>
      <c r="S59" s="7"/>
      <c r="T59" s="7"/>
      <c r="U59" s="7"/>
      <c r="V59" s="7"/>
      <c r="W59" s="7"/>
      <c r="X59" s="7"/>
      <c r="Y59" s="7"/>
      <c r="Z59" s="7"/>
    </row>
    <row r="60" ht="13.5" customHeight="1">
      <c r="A60" s="262" t="s">
        <v>1216</v>
      </c>
      <c r="B60" s="291" t="s">
        <v>1525</v>
      </c>
      <c r="C60" s="39"/>
      <c r="D60" s="39"/>
      <c r="E60" s="39"/>
      <c r="F60" s="39"/>
      <c r="G60" s="39"/>
      <c r="H60" s="39"/>
      <c r="I60" s="39"/>
      <c r="J60" s="39"/>
      <c r="K60" s="39"/>
      <c r="L60" s="39"/>
      <c r="M60" s="39"/>
      <c r="N60" s="40"/>
      <c r="O60" s="7"/>
      <c r="P60" s="7"/>
      <c r="Q60" s="7"/>
      <c r="R60" s="7"/>
      <c r="S60" s="7"/>
      <c r="T60" s="7"/>
      <c r="U60" s="7"/>
      <c r="V60" s="7"/>
      <c r="W60" s="7"/>
      <c r="X60" s="7"/>
      <c r="Y60" s="7"/>
      <c r="Z60" s="7"/>
    </row>
    <row r="61" ht="13.5" customHeight="1">
      <c r="A61" s="262" t="s">
        <v>1217</v>
      </c>
      <c r="B61" s="291" t="s">
        <v>1526</v>
      </c>
      <c r="C61" s="39"/>
      <c r="D61" s="39"/>
      <c r="E61" s="39"/>
      <c r="F61" s="39"/>
      <c r="G61" s="39"/>
      <c r="H61" s="39"/>
      <c r="I61" s="39"/>
      <c r="J61" s="39"/>
      <c r="K61" s="39"/>
      <c r="L61" s="39"/>
      <c r="M61" s="39"/>
      <c r="N61" s="40"/>
      <c r="O61" s="7"/>
      <c r="P61" s="7"/>
      <c r="Q61" s="7"/>
      <c r="R61" s="7"/>
      <c r="S61" s="7"/>
      <c r="T61" s="7"/>
      <c r="U61" s="7"/>
      <c r="V61" s="7"/>
      <c r="W61" s="7"/>
      <c r="X61" s="7"/>
      <c r="Y61" s="7"/>
      <c r="Z61" s="7"/>
    </row>
    <row r="62" ht="13.5" customHeight="1">
      <c r="A62" s="262" t="s">
        <v>1218</v>
      </c>
      <c r="B62" s="291" t="s">
        <v>1527</v>
      </c>
      <c r="C62" s="39"/>
      <c r="D62" s="39"/>
      <c r="E62" s="39"/>
      <c r="F62" s="39"/>
      <c r="G62" s="39"/>
      <c r="H62" s="39"/>
      <c r="I62" s="39"/>
      <c r="J62" s="39"/>
      <c r="K62" s="39"/>
      <c r="L62" s="39"/>
      <c r="M62" s="39"/>
      <c r="N62" s="40"/>
      <c r="O62" s="7"/>
      <c r="P62" s="7"/>
      <c r="Q62" s="7"/>
      <c r="R62" s="7"/>
      <c r="S62" s="7"/>
      <c r="T62" s="7"/>
      <c r="U62" s="7"/>
      <c r="V62" s="7"/>
      <c r="W62" s="7"/>
      <c r="X62" s="7"/>
      <c r="Y62" s="7"/>
      <c r="Z62" s="7"/>
    </row>
    <row r="63" ht="13.5" customHeight="1">
      <c r="A63" s="262" t="s">
        <v>1219</v>
      </c>
      <c r="B63" s="291" t="s">
        <v>1528</v>
      </c>
      <c r="C63" s="39"/>
      <c r="D63" s="39"/>
      <c r="E63" s="39"/>
      <c r="F63" s="39"/>
      <c r="G63" s="39"/>
      <c r="H63" s="39"/>
      <c r="I63" s="39"/>
      <c r="J63" s="39"/>
      <c r="K63" s="39"/>
      <c r="L63" s="39"/>
      <c r="M63" s="39"/>
      <c r="N63" s="40"/>
      <c r="O63" s="7"/>
      <c r="P63" s="7"/>
      <c r="Q63" s="7"/>
      <c r="R63" s="7"/>
      <c r="S63" s="7"/>
      <c r="T63" s="7"/>
      <c r="U63" s="7"/>
      <c r="V63" s="7"/>
      <c r="W63" s="7"/>
      <c r="X63" s="7"/>
      <c r="Y63" s="7"/>
      <c r="Z63" s="7"/>
    </row>
    <row r="64" ht="13.5" customHeight="1">
      <c r="A64" s="262" t="s">
        <v>1001</v>
      </c>
      <c r="B64" s="291" t="s">
        <v>1529</v>
      </c>
      <c r="C64" s="39"/>
      <c r="D64" s="39"/>
      <c r="E64" s="39"/>
      <c r="F64" s="39"/>
      <c r="G64" s="39"/>
      <c r="H64" s="39"/>
      <c r="I64" s="39"/>
      <c r="J64" s="39"/>
      <c r="K64" s="39"/>
      <c r="L64" s="39"/>
      <c r="M64" s="39"/>
      <c r="N64" s="40"/>
      <c r="O64" s="7"/>
      <c r="P64" s="7"/>
      <c r="Q64" s="7"/>
      <c r="R64" s="7"/>
      <c r="S64" s="7"/>
      <c r="T64" s="7"/>
      <c r="U64" s="7"/>
      <c r="V64" s="7"/>
      <c r="W64" s="7"/>
      <c r="X64" s="7"/>
      <c r="Y64" s="7"/>
      <c r="Z64" s="7"/>
    </row>
    <row r="65" ht="13.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3.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3.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3.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3.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3.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3.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3.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3.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3.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3.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3.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3.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3.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3.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3.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3.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3.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3.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3.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3.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3.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3.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3.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3.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3.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3.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3.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3.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3.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3.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3.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3.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3.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3.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3.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3.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3.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3.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3.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3.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3.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3.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3.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3.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3.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3.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3.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3.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3.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3.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3.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3.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3.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3.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3.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3.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3.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3.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3.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3.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3.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3.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3.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3.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3.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3.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3.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3.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3.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3.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3.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3.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3.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3.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3.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3.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3.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3.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3.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3.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3.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3.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3.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3.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3.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3.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3.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3.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3.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3.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3.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3.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3.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3.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3.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3.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3.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3.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3.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3.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3.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3.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3.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3.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3.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3.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3.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3.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3.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3.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3.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3.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3.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3.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3.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3.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3.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3.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3.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3.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3.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3.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3.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3.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3.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3.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3.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3.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3.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3.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3.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3.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3.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3.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3.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3.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3.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3.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3.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3.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3.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3.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3.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3.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3.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3.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3.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3.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3.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3.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3.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3.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3.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3.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3.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3.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3.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3.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3.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3.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3.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3.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3.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3.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3.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3.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3.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3.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3.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3.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3.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3.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3.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3.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3.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3.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3.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N1"/>
    <mergeCell ref="A2:N2"/>
    <mergeCell ref="A4:N4"/>
    <mergeCell ref="H10:I10"/>
    <mergeCell ref="A14:N14"/>
    <mergeCell ref="A24:N24"/>
    <mergeCell ref="B25:N25"/>
    <mergeCell ref="B26:N26"/>
    <mergeCell ref="B27:N27"/>
    <mergeCell ref="B28:N28"/>
    <mergeCell ref="B29:N29"/>
    <mergeCell ref="B30:N30"/>
    <mergeCell ref="B31:N31"/>
    <mergeCell ref="B32:N32"/>
    <mergeCell ref="B62:N62"/>
    <mergeCell ref="B63:N63"/>
    <mergeCell ref="B64:N64"/>
    <mergeCell ref="B33:N33"/>
    <mergeCell ref="B34:N34"/>
    <mergeCell ref="B35:N35"/>
    <mergeCell ref="A38:N38"/>
    <mergeCell ref="A59:N59"/>
    <mergeCell ref="B60:N60"/>
    <mergeCell ref="B61:N61"/>
  </mergeCells>
  <conditionalFormatting sqref="B55:F55">
    <cfRule type="expression" dxfId="10" priority="1">
      <formula>B55&lt;0</formula>
    </cfRule>
  </conditionalFormatting>
  <conditionalFormatting sqref="B55:F55">
    <cfRule type="expression" dxfId="11" priority="2">
      <formula>B55&gt;0</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24.57"/>
    <col customWidth="1" min="3" max="3" width="21.43"/>
    <col customWidth="1" min="4" max="4" width="22.86"/>
    <col customWidth="1" min="5" max="5" width="19.29"/>
    <col customWidth="1" min="6" max="6" width="42.0"/>
    <col customWidth="1" min="7" max="7" width="27.0"/>
    <col customWidth="1" min="8" max="8" width="42.0"/>
    <col customWidth="1" min="9" max="9" width="20.0"/>
    <col customWidth="1" min="10" max="10" width="48.0"/>
    <col customWidth="1" min="11" max="26" width="9.0"/>
  </cols>
  <sheetData>
    <row r="1" ht="36.0" customHeight="1">
      <c r="A1" s="261" t="s">
        <v>1530</v>
      </c>
      <c r="B1" s="39"/>
      <c r="C1" s="39"/>
      <c r="D1" s="39"/>
      <c r="E1" s="39"/>
      <c r="F1" s="39"/>
      <c r="G1" s="39"/>
      <c r="H1" s="39"/>
      <c r="I1" s="39"/>
      <c r="J1" s="40"/>
      <c r="K1" s="14"/>
      <c r="L1" s="14"/>
      <c r="M1" s="14"/>
      <c r="N1" s="14"/>
      <c r="O1" s="14"/>
      <c r="P1" s="14"/>
      <c r="Q1" s="14"/>
      <c r="R1" s="14"/>
      <c r="S1" s="14"/>
      <c r="T1" s="14"/>
      <c r="U1" s="14"/>
      <c r="V1" s="14"/>
      <c r="W1" s="14"/>
      <c r="X1" s="14"/>
      <c r="Y1" s="14"/>
      <c r="Z1" s="14"/>
    </row>
    <row r="2" ht="36.0" customHeight="1">
      <c r="A2" s="292" t="s">
        <v>1531</v>
      </c>
      <c r="B2" s="39"/>
      <c r="C2" s="39"/>
      <c r="D2" s="39"/>
      <c r="E2" s="39"/>
      <c r="F2" s="39"/>
      <c r="G2" s="39"/>
      <c r="H2" s="39"/>
      <c r="I2" s="39"/>
      <c r="J2" s="40"/>
      <c r="K2" s="14"/>
      <c r="L2" s="14"/>
      <c r="M2" s="14"/>
      <c r="N2" s="14"/>
      <c r="O2" s="14"/>
      <c r="P2" s="14"/>
      <c r="Q2" s="14"/>
      <c r="R2" s="14"/>
      <c r="S2" s="14"/>
      <c r="T2" s="14"/>
      <c r="U2" s="14"/>
      <c r="V2" s="14"/>
      <c r="W2" s="14"/>
      <c r="X2" s="14"/>
      <c r="Y2" s="14"/>
      <c r="Z2" s="14"/>
    </row>
    <row r="3" ht="14.25" customHeight="1">
      <c r="A3" s="14"/>
      <c r="B3" s="14"/>
      <c r="C3" s="14"/>
      <c r="D3" s="14"/>
      <c r="E3" s="14"/>
      <c r="F3" s="14"/>
      <c r="G3" s="14"/>
      <c r="H3" s="14"/>
      <c r="I3" s="14"/>
      <c r="J3" s="14"/>
      <c r="K3" s="14"/>
      <c r="L3" s="14"/>
      <c r="M3" s="14"/>
      <c r="N3" s="14"/>
      <c r="O3" s="14"/>
      <c r="P3" s="14"/>
      <c r="Q3" s="14"/>
      <c r="R3" s="14"/>
      <c r="S3" s="14"/>
      <c r="T3" s="14"/>
      <c r="U3" s="14"/>
      <c r="V3" s="14"/>
      <c r="W3" s="14"/>
      <c r="X3" s="14"/>
      <c r="Y3" s="14"/>
      <c r="Z3" s="14"/>
    </row>
    <row r="4" ht="14.25" customHeight="1">
      <c r="A4" s="261" t="s">
        <v>1532</v>
      </c>
      <c r="B4" s="39"/>
      <c r="C4" s="39"/>
      <c r="D4" s="39"/>
      <c r="E4" s="39"/>
      <c r="F4" s="39"/>
      <c r="G4" s="39"/>
      <c r="H4" s="39"/>
      <c r="I4" s="39"/>
      <c r="J4" s="40"/>
      <c r="K4" s="14"/>
      <c r="L4" s="14"/>
      <c r="M4" s="14"/>
      <c r="N4" s="14"/>
      <c r="O4" s="14"/>
      <c r="P4" s="14"/>
      <c r="Q4" s="14"/>
      <c r="R4" s="14"/>
      <c r="S4" s="14"/>
      <c r="T4" s="14"/>
      <c r="U4" s="14"/>
      <c r="V4" s="14"/>
      <c r="W4" s="14"/>
      <c r="X4" s="14"/>
      <c r="Y4" s="14"/>
      <c r="Z4" s="14"/>
    </row>
    <row r="5" ht="42.0" customHeight="1">
      <c r="A5" s="262" t="s">
        <v>283</v>
      </c>
      <c r="B5" s="262" t="s">
        <v>1533</v>
      </c>
      <c r="C5" s="262" t="s">
        <v>1534</v>
      </c>
      <c r="D5" s="262" t="s">
        <v>1535</v>
      </c>
      <c r="E5" s="262" t="s">
        <v>1536</v>
      </c>
      <c r="F5" s="262" t="s">
        <v>1537</v>
      </c>
      <c r="G5" s="262" t="s">
        <v>1538</v>
      </c>
      <c r="H5" s="262" t="s">
        <v>1539</v>
      </c>
      <c r="I5" s="262" t="s">
        <v>1540</v>
      </c>
      <c r="J5" s="262" t="s">
        <v>780</v>
      </c>
      <c r="K5" s="14"/>
      <c r="L5" s="14"/>
      <c r="M5" s="14"/>
      <c r="N5" s="14"/>
      <c r="O5" s="14"/>
      <c r="P5" s="14"/>
      <c r="Q5" s="14"/>
      <c r="R5" s="14"/>
      <c r="S5" s="14"/>
      <c r="T5" s="14"/>
      <c r="U5" s="14"/>
      <c r="V5" s="14"/>
      <c r="W5" s="14"/>
      <c r="X5" s="14"/>
      <c r="Y5" s="14"/>
      <c r="Z5" s="14"/>
    </row>
    <row r="6" ht="54.0" customHeight="1">
      <c r="A6" s="9">
        <v>2026.0</v>
      </c>
      <c r="B6" s="9">
        <v>100.0</v>
      </c>
      <c r="C6" s="293">
        <v>0.0</v>
      </c>
      <c r="D6" s="24">
        <v>28380.0</v>
      </c>
      <c r="E6" s="10">
        <v>94.6</v>
      </c>
      <c r="F6" s="294" t="s">
        <v>1541</v>
      </c>
      <c r="G6" s="294" t="s">
        <v>262</v>
      </c>
      <c r="H6" s="294" t="s">
        <v>1542</v>
      </c>
      <c r="I6" s="9" t="s">
        <v>262</v>
      </c>
      <c r="J6" s="294" t="s">
        <v>1543</v>
      </c>
      <c r="K6" s="14"/>
      <c r="L6" s="14"/>
      <c r="M6" s="14"/>
      <c r="N6" s="14"/>
      <c r="O6" s="14"/>
      <c r="P6" s="14"/>
      <c r="Q6" s="14"/>
      <c r="R6" s="14"/>
      <c r="S6" s="14"/>
      <c r="T6" s="14"/>
      <c r="U6" s="14"/>
      <c r="V6" s="14"/>
      <c r="W6" s="14"/>
      <c r="X6" s="14"/>
      <c r="Y6" s="14"/>
      <c r="Z6" s="14"/>
    </row>
    <row r="7" ht="54.0" customHeight="1">
      <c r="A7" s="9">
        <v>2027.0</v>
      </c>
      <c r="B7" s="9">
        <v>85.0</v>
      </c>
      <c r="C7" s="293">
        <v>0.15</v>
      </c>
      <c r="D7" s="24">
        <v>24123.0</v>
      </c>
      <c r="E7" s="12">
        <v>80.41</v>
      </c>
      <c r="F7" s="294" t="s">
        <v>1544</v>
      </c>
      <c r="G7" s="294" t="s">
        <v>1545</v>
      </c>
      <c r="H7" s="294" t="s">
        <v>1546</v>
      </c>
      <c r="I7" s="9" t="s">
        <v>1231</v>
      </c>
      <c r="J7" s="294" t="s">
        <v>1547</v>
      </c>
      <c r="K7" s="14"/>
      <c r="L7" s="14"/>
      <c r="M7" s="14"/>
      <c r="N7" s="14"/>
      <c r="O7" s="14"/>
      <c r="P7" s="14"/>
      <c r="Q7" s="14"/>
      <c r="R7" s="14"/>
      <c r="S7" s="14"/>
      <c r="T7" s="14"/>
      <c r="U7" s="14"/>
      <c r="V7" s="14"/>
      <c r="W7" s="14"/>
      <c r="X7" s="14"/>
      <c r="Y7" s="14"/>
      <c r="Z7" s="14"/>
    </row>
    <row r="8" ht="54.0" customHeight="1">
      <c r="A8" s="9">
        <v>2028.0</v>
      </c>
      <c r="B8" s="9">
        <v>70.0</v>
      </c>
      <c r="C8" s="293">
        <v>0.3</v>
      </c>
      <c r="D8" s="24">
        <v>19866.0</v>
      </c>
      <c r="E8" s="12">
        <v>66.22</v>
      </c>
      <c r="F8" s="294" t="s">
        <v>1548</v>
      </c>
      <c r="G8" s="294" t="s">
        <v>1545</v>
      </c>
      <c r="H8" s="294" t="s">
        <v>1549</v>
      </c>
      <c r="I8" s="9" t="s">
        <v>1550</v>
      </c>
      <c r="J8" s="294" t="s">
        <v>1551</v>
      </c>
      <c r="K8" s="14"/>
      <c r="L8" s="14"/>
      <c r="M8" s="14"/>
      <c r="N8" s="14"/>
      <c r="O8" s="14"/>
      <c r="P8" s="14"/>
      <c r="Q8" s="14"/>
      <c r="R8" s="14"/>
      <c r="S8" s="14"/>
      <c r="T8" s="14"/>
      <c r="U8" s="14"/>
      <c r="V8" s="14"/>
      <c r="W8" s="14"/>
      <c r="X8" s="14"/>
      <c r="Y8" s="14"/>
      <c r="Z8" s="14"/>
    </row>
    <row r="9" ht="54.0" customHeight="1">
      <c r="A9" s="9">
        <v>2029.0</v>
      </c>
      <c r="B9" s="9">
        <v>55.0</v>
      </c>
      <c r="C9" s="293">
        <v>0.45</v>
      </c>
      <c r="D9" s="24">
        <v>15609.0</v>
      </c>
      <c r="E9" s="12">
        <v>52.03</v>
      </c>
      <c r="F9" s="294" t="s">
        <v>1553</v>
      </c>
      <c r="G9" s="294" t="s">
        <v>1554</v>
      </c>
      <c r="H9" s="294" t="s">
        <v>1555</v>
      </c>
      <c r="I9" s="9" t="s">
        <v>740</v>
      </c>
      <c r="J9" s="294" t="s">
        <v>1556</v>
      </c>
      <c r="K9" s="14"/>
      <c r="L9" s="14"/>
      <c r="M9" s="14"/>
      <c r="N9" s="14"/>
      <c r="O9" s="14"/>
      <c r="P9" s="14"/>
      <c r="Q9" s="14"/>
      <c r="R9" s="14"/>
      <c r="S9" s="14"/>
      <c r="T9" s="14"/>
      <c r="U9" s="14"/>
      <c r="V9" s="14"/>
      <c r="W9" s="14"/>
      <c r="X9" s="14"/>
      <c r="Y9" s="14"/>
      <c r="Z9" s="14"/>
    </row>
    <row r="10" ht="54.0" customHeight="1">
      <c r="A10" s="9">
        <v>2030.0</v>
      </c>
      <c r="B10" s="9">
        <v>45.0</v>
      </c>
      <c r="C10" s="293">
        <v>0.55</v>
      </c>
      <c r="D10" s="24">
        <v>12771.0</v>
      </c>
      <c r="E10" s="12">
        <v>42.57</v>
      </c>
      <c r="F10" s="294" t="s">
        <v>1557</v>
      </c>
      <c r="G10" s="294" t="s">
        <v>1558</v>
      </c>
      <c r="H10" s="294" t="s">
        <v>1559</v>
      </c>
      <c r="I10" s="9" t="s">
        <v>740</v>
      </c>
      <c r="J10" s="294" t="s">
        <v>1560</v>
      </c>
      <c r="K10" s="14"/>
      <c r="L10" s="14"/>
      <c r="M10" s="14"/>
      <c r="N10" s="14"/>
      <c r="O10" s="14"/>
      <c r="P10" s="14"/>
      <c r="Q10" s="14"/>
      <c r="R10" s="14"/>
      <c r="S10" s="14"/>
      <c r="T10" s="14"/>
      <c r="U10" s="14"/>
      <c r="V10" s="14"/>
      <c r="W10" s="14"/>
      <c r="X10" s="14"/>
      <c r="Y10" s="14"/>
      <c r="Z10" s="14"/>
    </row>
    <row r="11" ht="54.0" customHeight="1">
      <c r="A11" s="9">
        <v>2031.0</v>
      </c>
      <c r="B11" s="9">
        <v>36.0</v>
      </c>
      <c r="C11" s="293">
        <v>0.64</v>
      </c>
      <c r="D11" s="11">
        <v>10216.8</v>
      </c>
      <c r="E11" s="295">
        <v>34.056</v>
      </c>
      <c r="F11" s="294" t="s">
        <v>1561</v>
      </c>
      <c r="G11" s="294" t="s">
        <v>1562</v>
      </c>
      <c r="H11" s="294" t="s">
        <v>1563</v>
      </c>
      <c r="I11" s="9" t="s">
        <v>1564</v>
      </c>
      <c r="J11" s="294" t="s">
        <v>1565</v>
      </c>
      <c r="K11" s="14"/>
      <c r="L11" s="14"/>
      <c r="M11" s="14"/>
      <c r="N11" s="14"/>
      <c r="O11" s="14"/>
      <c r="P11" s="14"/>
      <c r="Q11" s="14"/>
      <c r="R11" s="14"/>
      <c r="S11" s="14"/>
      <c r="T11" s="14"/>
      <c r="U11" s="14"/>
      <c r="V11" s="14"/>
      <c r="W11" s="14"/>
      <c r="X11" s="14"/>
      <c r="Y11" s="14"/>
      <c r="Z11" s="14"/>
    </row>
    <row r="12" ht="14.25" customHeight="1">
      <c r="A12" s="260"/>
      <c r="B12" s="260"/>
      <c r="C12" s="260"/>
      <c r="D12" s="260"/>
      <c r="E12" s="260"/>
      <c r="F12" s="260"/>
      <c r="G12" s="260"/>
      <c r="H12" s="260"/>
      <c r="I12" s="260"/>
      <c r="J12" s="260"/>
      <c r="K12" s="14"/>
      <c r="L12" s="14"/>
      <c r="M12" s="14"/>
      <c r="N12" s="14"/>
      <c r="O12" s="14"/>
      <c r="P12" s="14"/>
      <c r="Q12" s="14"/>
      <c r="R12" s="14"/>
      <c r="S12" s="14"/>
      <c r="T12" s="14"/>
      <c r="U12" s="14"/>
      <c r="V12" s="14"/>
      <c r="W12" s="14"/>
      <c r="X12" s="14"/>
      <c r="Y12" s="14"/>
      <c r="Z12" s="14"/>
    </row>
    <row r="13" ht="14.25" customHeight="1">
      <c r="A13" s="261" t="s">
        <v>1566</v>
      </c>
      <c r="B13" s="39"/>
      <c r="C13" s="39"/>
      <c r="D13" s="39"/>
      <c r="E13" s="39"/>
      <c r="F13" s="40"/>
      <c r="G13" s="30"/>
      <c r="H13" s="30"/>
      <c r="I13" s="30"/>
      <c r="J13" s="30"/>
      <c r="K13" s="14"/>
      <c r="L13" s="14"/>
      <c r="M13" s="14"/>
      <c r="N13" s="14"/>
      <c r="O13" s="14"/>
      <c r="P13" s="14"/>
      <c r="Q13" s="14"/>
      <c r="R13" s="14"/>
      <c r="S13" s="14"/>
      <c r="T13" s="14"/>
      <c r="U13" s="14"/>
      <c r="V13" s="14"/>
      <c r="W13" s="14"/>
      <c r="X13" s="14"/>
      <c r="Y13" s="14"/>
      <c r="Z13" s="14"/>
    </row>
    <row r="14" ht="36.0" customHeight="1">
      <c r="A14" s="262" t="s">
        <v>1567</v>
      </c>
      <c r="B14" s="296" t="s">
        <v>1568</v>
      </c>
      <c r="C14" s="40"/>
      <c r="D14" s="296" t="s">
        <v>1569</v>
      </c>
      <c r="E14" s="40"/>
      <c r="F14" s="262" t="s">
        <v>1570</v>
      </c>
      <c r="G14" s="260"/>
      <c r="H14" s="260"/>
      <c r="I14" s="260"/>
      <c r="J14" s="260"/>
      <c r="K14" s="14"/>
      <c r="L14" s="14"/>
      <c r="M14" s="14"/>
      <c r="N14" s="14"/>
      <c r="O14" s="14"/>
      <c r="P14" s="14"/>
      <c r="Q14" s="14"/>
      <c r="R14" s="14"/>
      <c r="S14" s="14"/>
      <c r="T14" s="14"/>
      <c r="U14" s="14"/>
      <c r="V14" s="14"/>
      <c r="W14" s="14"/>
      <c r="X14" s="14"/>
      <c r="Y14" s="14"/>
      <c r="Z14" s="14"/>
    </row>
    <row r="15" ht="39.0" customHeight="1">
      <c r="A15" s="297" t="s">
        <v>37</v>
      </c>
      <c r="B15" s="298" t="s">
        <v>1571</v>
      </c>
      <c r="C15" s="40"/>
      <c r="D15" s="298" t="s">
        <v>1572</v>
      </c>
      <c r="E15" s="40"/>
      <c r="F15" s="297" t="s">
        <v>1573</v>
      </c>
      <c r="G15" s="260"/>
      <c r="H15" s="260"/>
      <c r="I15" s="260"/>
      <c r="J15" s="260"/>
      <c r="K15" s="14"/>
      <c r="L15" s="14"/>
      <c r="M15" s="14"/>
      <c r="N15" s="14"/>
      <c r="O15" s="14"/>
      <c r="P15" s="14"/>
      <c r="Q15" s="14"/>
      <c r="R15" s="14"/>
      <c r="S15" s="14"/>
      <c r="T15" s="14"/>
      <c r="U15" s="14"/>
      <c r="V15" s="14"/>
      <c r="W15" s="14"/>
      <c r="X15" s="14"/>
      <c r="Y15" s="14"/>
      <c r="Z15" s="14"/>
    </row>
    <row r="16" ht="28.5" customHeight="1">
      <c r="A16" s="297" t="s">
        <v>1574</v>
      </c>
      <c r="B16" s="298" t="s">
        <v>1575</v>
      </c>
      <c r="C16" s="40"/>
      <c r="D16" s="298" t="s">
        <v>1576</v>
      </c>
      <c r="E16" s="40"/>
      <c r="F16" s="297" t="s">
        <v>1577</v>
      </c>
      <c r="G16" s="260"/>
      <c r="H16" s="260"/>
      <c r="I16" s="260"/>
      <c r="J16" s="260"/>
      <c r="K16" s="14"/>
      <c r="L16" s="14"/>
      <c r="M16" s="14"/>
      <c r="N16" s="14"/>
      <c r="O16" s="14"/>
      <c r="P16" s="14"/>
      <c r="Q16" s="14"/>
      <c r="R16" s="14"/>
      <c r="S16" s="14"/>
      <c r="T16" s="14"/>
      <c r="U16" s="14"/>
      <c r="V16" s="14"/>
      <c r="W16" s="14"/>
      <c r="X16" s="14"/>
      <c r="Y16" s="14"/>
      <c r="Z16" s="14"/>
    </row>
    <row r="17" ht="30.0" customHeight="1">
      <c r="A17" s="297" t="s">
        <v>1578</v>
      </c>
      <c r="B17" s="298" t="s">
        <v>1579</v>
      </c>
      <c r="C17" s="40"/>
      <c r="D17" s="298" t="s">
        <v>1580</v>
      </c>
      <c r="E17" s="40"/>
      <c r="F17" s="297" t="s">
        <v>1581</v>
      </c>
      <c r="G17" s="260"/>
      <c r="H17" s="260"/>
      <c r="I17" s="260"/>
      <c r="J17" s="260"/>
      <c r="K17" s="14"/>
      <c r="L17" s="14"/>
      <c r="M17" s="14"/>
      <c r="N17" s="14"/>
      <c r="O17" s="14"/>
      <c r="P17" s="14"/>
      <c r="Q17" s="14"/>
      <c r="R17" s="14"/>
      <c r="S17" s="14"/>
      <c r="T17" s="14"/>
      <c r="U17" s="14"/>
      <c r="V17" s="14"/>
      <c r="W17" s="14"/>
      <c r="X17" s="14"/>
      <c r="Y17" s="14"/>
      <c r="Z17" s="14"/>
    </row>
    <row r="18" ht="44.25" customHeight="1">
      <c r="A18" s="297" t="s">
        <v>1582</v>
      </c>
      <c r="B18" s="298" t="s">
        <v>1583</v>
      </c>
      <c r="C18" s="40"/>
      <c r="D18" s="298" t="s">
        <v>1584</v>
      </c>
      <c r="E18" s="40"/>
      <c r="F18" s="297" t="s">
        <v>1585</v>
      </c>
      <c r="G18" s="260"/>
      <c r="H18" s="260"/>
      <c r="I18" s="260"/>
      <c r="J18" s="260"/>
      <c r="K18" s="14"/>
      <c r="L18" s="14"/>
      <c r="M18" s="14"/>
      <c r="N18" s="14"/>
      <c r="O18" s="14"/>
      <c r="P18" s="14"/>
      <c r="Q18" s="14"/>
      <c r="R18" s="14"/>
      <c r="S18" s="14"/>
      <c r="T18" s="14"/>
      <c r="U18" s="14"/>
      <c r="V18" s="14"/>
      <c r="W18" s="14"/>
      <c r="X18" s="14"/>
      <c r="Y18" s="14"/>
      <c r="Z18" s="14"/>
    </row>
    <row r="19" ht="30.0" customHeight="1">
      <c r="A19" s="297" t="s">
        <v>1586</v>
      </c>
      <c r="B19" s="298" t="s">
        <v>1587</v>
      </c>
      <c r="C19" s="40"/>
      <c r="D19" s="298" t="s">
        <v>1588</v>
      </c>
      <c r="E19" s="40"/>
      <c r="F19" s="297" t="s">
        <v>1589</v>
      </c>
      <c r="G19" s="260"/>
      <c r="H19" s="260"/>
      <c r="I19" s="260"/>
      <c r="J19" s="260"/>
      <c r="K19" s="14"/>
      <c r="L19" s="14"/>
      <c r="M19" s="14"/>
      <c r="N19" s="14"/>
      <c r="O19" s="14"/>
      <c r="P19" s="14"/>
      <c r="Q19" s="14"/>
      <c r="R19" s="14"/>
      <c r="S19" s="14"/>
      <c r="T19" s="14"/>
      <c r="U19" s="14"/>
      <c r="V19" s="14"/>
      <c r="W19" s="14"/>
      <c r="X19" s="14"/>
      <c r="Y19" s="14"/>
      <c r="Z19" s="14"/>
    </row>
    <row r="20" ht="18.0" customHeight="1">
      <c r="A20" s="297" t="s">
        <v>1590</v>
      </c>
      <c r="B20" s="299" t="s">
        <v>1591</v>
      </c>
      <c r="C20" s="40"/>
      <c r="D20" s="299" t="s">
        <v>1592</v>
      </c>
      <c r="E20" s="40"/>
      <c r="F20" s="300" t="s">
        <v>1593</v>
      </c>
      <c r="G20" s="260"/>
      <c r="H20" s="260"/>
      <c r="I20" s="260"/>
      <c r="J20" s="260"/>
      <c r="K20" s="14"/>
      <c r="L20" s="14"/>
      <c r="M20" s="14"/>
      <c r="N20" s="14"/>
      <c r="O20" s="14"/>
      <c r="P20" s="14"/>
      <c r="Q20" s="14"/>
      <c r="R20" s="14"/>
      <c r="S20" s="14"/>
      <c r="T20" s="14"/>
      <c r="U20" s="14"/>
      <c r="V20" s="14"/>
      <c r="W20" s="14"/>
      <c r="X20" s="14"/>
      <c r="Y20" s="14"/>
      <c r="Z20" s="14"/>
    </row>
    <row r="21" ht="14.25" customHeight="1">
      <c r="A21" s="260"/>
      <c r="B21" s="260"/>
      <c r="C21" s="260"/>
      <c r="D21" s="260"/>
      <c r="E21" s="260"/>
      <c r="F21" s="260"/>
      <c r="G21" s="260"/>
      <c r="H21" s="260"/>
      <c r="I21" s="260"/>
      <c r="J21" s="260"/>
      <c r="K21" s="14"/>
      <c r="L21" s="14"/>
      <c r="M21" s="14"/>
      <c r="N21" s="14"/>
      <c r="O21" s="14"/>
      <c r="P21" s="14"/>
      <c r="Q21" s="14"/>
      <c r="R21" s="14"/>
      <c r="S21" s="14"/>
      <c r="T21" s="14"/>
      <c r="U21" s="14"/>
      <c r="V21" s="14"/>
      <c r="W21" s="14"/>
      <c r="X21" s="14"/>
      <c r="Y21" s="14"/>
      <c r="Z21" s="14"/>
    </row>
    <row r="22" ht="14.25" customHeight="1">
      <c r="A22" s="261" t="s">
        <v>1594</v>
      </c>
      <c r="B22" s="39"/>
      <c r="C22" s="40"/>
      <c r="D22" s="30"/>
      <c r="E22" s="30"/>
      <c r="F22" s="30"/>
      <c r="G22" s="30"/>
      <c r="H22" s="30"/>
      <c r="I22" s="30"/>
      <c r="J22" s="30"/>
      <c r="K22" s="14"/>
      <c r="L22" s="14"/>
      <c r="M22" s="14"/>
      <c r="N22" s="14"/>
      <c r="O22" s="14"/>
      <c r="P22" s="14"/>
      <c r="Q22" s="14"/>
      <c r="R22" s="14"/>
      <c r="S22" s="14"/>
      <c r="T22" s="14"/>
      <c r="U22" s="14"/>
      <c r="V22" s="14"/>
      <c r="W22" s="14"/>
      <c r="X22" s="14"/>
      <c r="Y22" s="14"/>
      <c r="Z22" s="14"/>
    </row>
    <row r="23" ht="36.0" customHeight="1">
      <c r="A23" s="262" t="s">
        <v>1595</v>
      </c>
      <c r="B23" s="262" t="s">
        <v>1596</v>
      </c>
      <c r="C23" s="262" t="s">
        <v>1597</v>
      </c>
      <c r="D23" s="260"/>
      <c r="E23" s="260"/>
      <c r="F23" s="260"/>
      <c r="G23" s="260"/>
      <c r="H23" s="260"/>
      <c r="I23" s="260"/>
      <c r="J23" s="260"/>
      <c r="K23" s="14"/>
      <c r="L23" s="14"/>
      <c r="M23" s="14"/>
      <c r="N23" s="14"/>
      <c r="O23" s="14"/>
      <c r="P23" s="14"/>
      <c r="Q23" s="14"/>
      <c r="R23" s="14"/>
      <c r="S23" s="14"/>
      <c r="T23" s="14"/>
      <c r="U23" s="14"/>
      <c r="V23" s="14"/>
      <c r="W23" s="14"/>
      <c r="X23" s="14"/>
      <c r="Y23" s="14"/>
      <c r="Z23" s="14"/>
    </row>
    <row r="24" ht="54.0" customHeight="1">
      <c r="A24" s="22" t="s">
        <v>1598</v>
      </c>
      <c r="B24" s="9" t="s">
        <v>164</v>
      </c>
      <c r="C24" s="22" t="s">
        <v>1599</v>
      </c>
      <c r="D24" s="260"/>
      <c r="E24" s="260"/>
      <c r="F24" s="260"/>
      <c r="G24" s="260"/>
      <c r="H24" s="260"/>
      <c r="I24" s="260"/>
      <c r="J24" s="260"/>
      <c r="K24" s="14"/>
      <c r="L24" s="14"/>
      <c r="M24" s="14"/>
      <c r="N24" s="14"/>
      <c r="O24" s="14"/>
      <c r="P24" s="14"/>
      <c r="Q24" s="14"/>
      <c r="R24" s="14"/>
      <c r="S24" s="14"/>
      <c r="T24" s="14"/>
      <c r="U24" s="14"/>
      <c r="V24" s="14"/>
      <c r="W24" s="14"/>
      <c r="X24" s="14"/>
      <c r="Y24" s="14"/>
      <c r="Z24" s="14"/>
    </row>
    <row r="25" ht="54.75" customHeight="1">
      <c r="A25" s="22" t="s">
        <v>1600</v>
      </c>
      <c r="B25" s="9" t="s">
        <v>165</v>
      </c>
      <c r="C25" s="22" t="s">
        <v>1601</v>
      </c>
      <c r="D25" s="260"/>
      <c r="E25" s="260"/>
      <c r="F25" s="260"/>
      <c r="G25" s="260"/>
      <c r="H25" s="260"/>
      <c r="I25" s="260"/>
      <c r="J25" s="260"/>
      <c r="K25" s="14"/>
      <c r="L25" s="14"/>
      <c r="M25" s="14"/>
      <c r="N25" s="14"/>
      <c r="O25" s="14"/>
      <c r="P25" s="14"/>
      <c r="Q25" s="14"/>
      <c r="R25" s="14"/>
      <c r="S25" s="14"/>
      <c r="T25" s="14"/>
      <c r="U25" s="14"/>
      <c r="V25" s="14"/>
      <c r="W25" s="14"/>
      <c r="X25" s="14"/>
      <c r="Y25" s="14"/>
      <c r="Z25" s="14"/>
    </row>
    <row r="26" ht="63.0" customHeight="1">
      <c r="A26" s="22" t="s">
        <v>1602</v>
      </c>
      <c r="B26" s="9" t="s">
        <v>1603</v>
      </c>
      <c r="C26" s="22" t="s">
        <v>1604</v>
      </c>
      <c r="D26" s="260"/>
      <c r="E26" s="260"/>
      <c r="F26" s="260"/>
      <c r="G26" s="260"/>
      <c r="H26" s="260"/>
      <c r="I26" s="260"/>
      <c r="J26" s="260"/>
      <c r="K26" s="14"/>
      <c r="L26" s="14"/>
      <c r="M26" s="14"/>
      <c r="N26" s="14"/>
      <c r="O26" s="14"/>
      <c r="P26" s="14"/>
      <c r="Q26" s="14"/>
      <c r="R26" s="14"/>
      <c r="S26" s="14"/>
      <c r="T26" s="14"/>
      <c r="U26" s="14"/>
      <c r="V26" s="14"/>
      <c r="W26" s="14"/>
      <c r="X26" s="14"/>
      <c r="Y26" s="14"/>
      <c r="Z26" s="14"/>
    </row>
    <row r="27" ht="54.75" customHeight="1">
      <c r="A27" s="22" t="s">
        <v>1605</v>
      </c>
      <c r="B27" s="9" t="s">
        <v>168</v>
      </c>
      <c r="C27" s="22" t="s">
        <v>1606</v>
      </c>
      <c r="D27" s="260"/>
      <c r="E27" s="260"/>
      <c r="F27" s="260"/>
      <c r="G27" s="260"/>
      <c r="H27" s="260"/>
      <c r="I27" s="260"/>
      <c r="J27" s="260"/>
      <c r="K27" s="14"/>
      <c r="L27" s="14"/>
      <c r="M27" s="14"/>
      <c r="N27" s="14"/>
      <c r="O27" s="14"/>
      <c r="P27" s="14"/>
      <c r="Q27" s="14"/>
      <c r="R27" s="14"/>
      <c r="S27" s="14"/>
      <c r="T27" s="14"/>
      <c r="U27" s="14"/>
      <c r="V27" s="14"/>
      <c r="W27" s="14"/>
      <c r="X27" s="14"/>
      <c r="Y27" s="14"/>
      <c r="Z27" s="14"/>
    </row>
    <row r="28" ht="57.75" customHeight="1">
      <c r="A28" s="22" t="s">
        <v>1607</v>
      </c>
      <c r="B28" s="9" t="s">
        <v>169</v>
      </c>
      <c r="C28" s="22" t="s">
        <v>1608</v>
      </c>
      <c r="D28" s="260"/>
      <c r="E28" s="260"/>
      <c r="F28" s="260"/>
      <c r="G28" s="260"/>
      <c r="H28" s="260"/>
      <c r="I28" s="260"/>
      <c r="J28" s="260"/>
      <c r="K28" s="14"/>
      <c r="L28" s="14"/>
      <c r="M28" s="14"/>
      <c r="N28" s="14"/>
      <c r="O28" s="14"/>
      <c r="P28" s="14"/>
      <c r="Q28" s="14"/>
      <c r="R28" s="14"/>
      <c r="S28" s="14"/>
      <c r="T28" s="14"/>
      <c r="U28" s="14"/>
      <c r="V28" s="14"/>
      <c r="W28" s="14"/>
      <c r="X28" s="14"/>
      <c r="Y28" s="14"/>
      <c r="Z28" s="14"/>
    </row>
    <row r="29" ht="14.2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4.2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4.2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4.2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4.2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4.2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4.2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4.2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4.2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4.2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4.2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4.2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4.2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4.2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4.2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4.2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4.2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4.2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4.2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4.2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4.2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4.2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4.2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4.2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4.2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4.2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4.2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4.2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4.2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4.2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4.2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4.2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4.2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4.2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4.2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4.2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4.2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4.2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4.2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4.2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4.2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4.2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4.2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4.2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4.2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4.2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4.2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4.2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4.2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4.2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4.2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4.2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4.2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4.2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4.2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4.2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4.2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4.2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4.2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4.2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4.2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4.2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4.2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4.2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4.2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4.2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4.2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4.2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4.2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4.2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4.2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4.2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4.2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4.2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4.2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4.2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4.2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4.2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4.2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4.2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4.2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4.2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4.2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4.2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4.2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4.2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4.2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4.2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4.2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4.2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4.2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4.2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4.2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4.2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4.2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4.2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4.2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4.2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4.2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4.2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4.2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4.2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4.2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4.2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4.2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4.2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4.2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4.2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4.2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4.2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4.2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4.2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4.2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4.2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4.2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4.2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4.2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4.2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4.2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4.2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4.2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4.2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4.2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4.2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4.2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4.2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4.2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4.2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4.2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4.2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4.2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4.2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4.2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4.2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4.2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4.2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4.2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4.2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4.2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4.2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4.2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4.2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4.2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4.2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4.2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4.2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4.2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4.2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4.2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4.2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4.2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4.2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4.2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4.2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4.2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4.2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4.2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4.2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4.2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4.2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4.2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4.2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4.2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4.2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4.2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4.2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4.2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4.2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4.2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4.2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4.2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4.2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4.2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4.2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4.2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4.2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4.2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4.2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4.2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4.2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4.2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4.2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4.2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4.2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4.2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4.2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4.2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4.2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4.2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4.2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4.2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4.2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4.2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4.2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4.2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4.2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4.2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4.2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4.2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4.2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J1"/>
    <mergeCell ref="A2:J2"/>
    <mergeCell ref="A4:J4"/>
    <mergeCell ref="A13:F13"/>
    <mergeCell ref="B14:C14"/>
    <mergeCell ref="D14:E14"/>
    <mergeCell ref="D15:E15"/>
    <mergeCell ref="B19:C19"/>
    <mergeCell ref="D19:E19"/>
    <mergeCell ref="B20:C20"/>
    <mergeCell ref="D20:E20"/>
    <mergeCell ref="A22:C22"/>
    <mergeCell ref="B15:C15"/>
    <mergeCell ref="B16:C16"/>
    <mergeCell ref="D16:E16"/>
    <mergeCell ref="B17:C17"/>
    <mergeCell ref="D17:E17"/>
    <mergeCell ref="B18:C18"/>
    <mergeCell ref="D18:E18"/>
  </mergeCells>
  <conditionalFormatting sqref="B6:B11">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2026-10-06T15:56:38Z</dcterms:created>
  <dc:creator>Phạm Đức Trí</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